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mazon-my.sharepoint.com/personal/chrlsim_amazon_com/Documents/01liveshare-OneDrive/"/>
    </mc:Choice>
  </mc:AlternateContent>
  <xr:revisionPtr revIDLastSave="1227" documentId="13_ncr:1_{C3653D3E-5C58-41B5-9C37-5C71FD59D90A}" xr6:coauthVersionLast="47" xr6:coauthVersionMax="47" xr10:uidLastSave="{EA336F65-8CF3-40AB-9B65-208D1699142C}"/>
  <bookViews>
    <workbookView xWindow="5340" yWindow="2616" windowWidth="17280" windowHeight="9960" activeTab="1" xr2:uid="{9EFCB593-027A-4AD5-9C8D-5A1EC8ED28DD}"/>
  </bookViews>
  <sheets>
    <sheet name="Main" sheetId="1" r:id="rId1"/>
    <sheet name="DATA" sheetId="10" r:id="rId2"/>
    <sheet name="pdcount" sheetId="8" state="hidden" r:id="rId3"/>
    <sheet name="brief" sheetId="9" r:id="rId4"/>
  </sheets>
  <definedNames>
    <definedName name="_xleta.DAY" hidden="1" xlm="1">#NAME?</definedName>
    <definedName name="_xleta.DAYS" hidden="1" xlm="1">#NAME?</definedName>
    <definedName name="_xleta.IF" hidden="1" xlm="1">#NAME?</definedName>
    <definedName name="_xlnm.Print_Area" localSheetId="3">brief!$A$1:$M$48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" i="1" l="1"/>
  <c r="C30" i="1"/>
  <c r="D30" i="1"/>
  <c r="E30" i="1"/>
  <c r="F30" i="1"/>
  <c r="G30" i="1"/>
  <c r="H30" i="1"/>
  <c r="B31" i="1"/>
  <c r="C31" i="1"/>
  <c r="D31" i="1"/>
  <c r="J26" i="9" s="1"/>
  <c r="E31" i="1"/>
  <c r="F31" i="1"/>
  <c r="G31" i="1"/>
  <c r="H31" i="1"/>
  <c r="B32" i="1"/>
  <c r="C32" i="1"/>
  <c r="D32" i="1"/>
  <c r="E32" i="1"/>
  <c r="F32" i="1"/>
  <c r="G32" i="1"/>
  <c r="H32" i="1"/>
  <c r="B33" i="1"/>
  <c r="C33" i="1"/>
  <c r="D33" i="1"/>
  <c r="E33" i="1"/>
  <c r="F33" i="1"/>
  <c r="G33" i="1"/>
  <c r="H33" i="1"/>
  <c r="B34" i="1"/>
  <c r="C34" i="1"/>
  <c r="D34" i="1"/>
  <c r="E34" i="1"/>
  <c r="F34" i="1"/>
  <c r="G34" i="1"/>
  <c r="H34" i="1"/>
  <c r="B35" i="1"/>
  <c r="C35" i="1"/>
  <c r="D35" i="1"/>
  <c r="E35" i="1"/>
  <c r="F35" i="1"/>
  <c r="G35" i="1"/>
  <c r="H35" i="1"/>
  <c r="B36" i="1"/>
  <c r="C36" i="1"/>
  <c r="D36" i="1"/>
  <c r="E36" i="1"/>
  <c r="F36" i="1"/>
  <c r="G36" i="1"/>
  <c r="H36" i="1"/>
  <c r="B37" i="1"/>
  <c r="C37" i="1"/>
  <c r="D37" i="1"/>
  <c r="E37" i="1"/>
  <c r="F37" i="1"/>
  <c r="G37" i="1"/>
  <c r="H37" i="1"/>
  <c r="B38" i="1"/>
  <c r="C38" i="1"/>
  <c r="D38" i="1"/>
  <c r="E38" i="1"/>
  <c r="F38" i="1"/>
  <c r="G38" i="1"/>
  <c r="H38" i="1"/>
  <c r="B39" i="1"/>
  <c r="C39" i="1"/>
  <c r="D39" i="1"/>
  <c r="E39" i="1"/>
  <c r="F39" i="1"/>
  <c r="G39" i="1"/>
  <c r="H39" i="1"/>
  <c r="B40" i="1"/>
  <c r="C40" i="1"/>
  <c r="D40" i="1"/>
  <c r="E40" i="1"/>
  <c r="F40" i="1"/>
  <c r="G40" i="1"/>
  <c r="H40" i="1"/>
  <c r="B41" i="1"/>
  <c r="C41" i="1"/>
  <c r="D41" i="1"/>
  <c r="E41" i="1"/>
  <c r="F41" i="1"/>
  <c r="G41" i="1"/>
  <c r="H41" i="1"/>
  <c r="B42" i="1"/>
  <c r="C42" i="1"/>
  <c r="D42" i="1"/>
  <c r="E42" i="1"/>
  <c r="F42" i="1"/>
  <c r="G42" i="1"/>
  <c r="H42" i="1"/>
  <c r="B43" i="1"/>
  <c r="C43" i="1"/>
  <c r="D43" i="1"/>
  <c r="E43" i="1"/>
  <c r="F43" i="1"/>
  <c r="G43" i="1"/>
  <c r="H43" i="1"/>
  <c r="B44" i="1"/>
  <c r="C44" i="1"/>
  <c r="D44" i="1"/>
  <c r="E44" i="1"/>
  <c r="F44" i="1"/>
  <c r="G44" i="1"/>
  <c r="H44" i="1"/>
  <c r="B45" i="1"/>
  <c r="C45" i="1"/>
  <c r="D45" i="1"/>
  <c r="E45" i="1"/>
  <c r="F45" i="1"/>
  <c r="G45" i="1"/>
  <c r="H45" i="1"/>
  <c r="B46" i="1"/>
  <c r="C46" i="1"/>
  <c r="D46" i="1"/>
  <c r="E46" i="1"/>
  <c r="F46" i="1"/>
  <c r="G46" i="1"/>
  <c r="H46" i="1"/>
  <c r="B47" i="1"/>
  <c r="C47" i="1"/>
  <c r="D47" i="1"/>
  <c r="E47" i="1"/>
  <c r="F47" i="1"/>
  <c r="G47" i="1"/>
  <c r="H47" i="1"/>
  <c r="B48" i="1"/>
  <c r="C48" i="1"/>
  <c r="D48" i="1"/>
  <c r="E48" i="1"/>
  <c r="F48" i="1"/>
  <c r="G48" i="1"/>
  <c r="H48" i="1"/>
  <c r="B49" i="1"/>
  <c r="C49" i="1"/>
  <c r="D49" i="1"/>
  <c r="E49" i="1"/>
  <c r="F49" i="1"/>
  <c r="G49" i="1"/>
  <c r="H49" i="1"/>
  <c r="B50" i="1"/>
  <c r="C50" i="1"/>
  <c r="D50" i="1"/>
  <c r="E50" i="1"/>
  <c r="F50" i="1"/>
  <c r="G50" i="1"/>
  <c r="H50" i="1"/>
  <c r="B51" i="1"/>
  <c r="C51" i="1"/>
  <c r="D51" i="1"/>
  <c r="E51" i="1"/>
  <c r="F51" i="1"/>
  <c r="G51" i="1"/>
  <c r="H51" i="1"/>
  <c r="B52" i="1"/>
  <c r="C52" i="1"/>
  <c r="D52" i="1"/>
  <c r="E52" i="1"/>
  <c r="F52" i="1"/>
  <c r="G52" i="1"/>
  <c r="H52" i="1"/>
  <c r="B53" i="1"/>
  <c r="C53" i="1"/>
  <c r="D53" i="1"/>
  <c r="E53" i="1"/>
  <c r="F53" i="1"/>
  <c r="G53" i="1"/>
  <c r="H53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30" i="1"/>
  <c r="H88" i="1"/>
  <c r="G88" i="1"/>
  <c r="F88" i="1"/>
  <c r="E88" i="1"/>
  <c r="D88" i="1"/>
  <c r="C88" i="1"/>
  <c r="B88" i="1"/>
  <c r="H87" i="1"/>
  <c r="G87" i="1"/>
  <c r="F87" i="1"/>
  <c r="E87" i="1"/>
  <c r="D87" i="1"/>
  <c r="C87" i="1"/>
  <c r="B87" i="1"/>
  <c r="H86" i="1"/>
  <c r="G86" i="1"/>
  <c r="F86" i="1"/>
  <c r="E86" i="1"/>
  <c r="D86" i="1"/>
  <c r="C86" i="1"/>
  <c r="B86" i="1"/>
  <c r="H85" i="1"/>
  <c r="G85" i="1"/>
  <c r="F85" i="1"/>
  <c r="E85" i="1"/>
  <c r="D85" i="1"/>
  <c r="C85" i="1"/>
  <c r="B85" i="1"/>
  <c r="H84" i="1"/>
  <c r="G84" i="1"/>
  <c r="F84" i="1"/>
  <c r="E84" i="1"/>
  <c r="D84" i="1"/>
  <c r="C84" i="1"/>
  <c r="B84" i="1"/>
  <c r="H83" i="1"/>
  <c r="G83" i="1"/>
  <c r="F83" i="1"/>
  <c r="E83" i="1"/>
  <c r="D83" i="1"/>
  <c r="C83" i="1"/>
  <c r="B83" i="1"/>
  <c r="H82" i="1"/>
  <c r="G82" i="1"/>
  <c r="F82" i="1"/>
  <c r="E82" i="1"/>
  <c r="D82" i="1"/>
  <c r="C82" i="1"/>
  <c r="B82" i="1"/>
  <c r="H81" i="1"/>
  <c r="G81" i="1"/>
  <c r="F81" i="1"/>
  <c r="E81" i="1"/>
  <c r="D81" i="1"/>
  <c r="C81" i="1"/>
  <c r="B81" i="1"/>
  <c r="C80" i="1"/>
  <c r="C79" i="1"/>
  <c r="C78" i="1"/>
  <c r="H77" i="1"/>
  <c r="G77" i="1"/>
  <c r="F77" i="1"/>
  <c r="E77" i="1"/>
  <c r="D77" i="1"/>
  <c r="C77" i="1"/>
  <c r="B77" i="1"/>
  <c r="H76" i="1"/>
  <c r="G76" i="1"/>
  <c r="F76" i="1"/>
  <c r="E76" i="1"/>
  <c r="D76" i="1"/>
  <c r="C76" i="1"/>
  <c r="B76" i="1"/>
  <c r="C75" i="1"/>
  <c r="B75" i="1"/>
  <c r="C74" i="1"/>
  <c r="B74" i="1"/>
  <c r="C73" i="1"/>
  <c r="C72" i="1"/>
  <c r="C71" i="1"/>
  <c r="C70" i="1"/>
  <c r="C69" i="1"/>
  <c r="C68" i="1"/>
  <c r="C67" i="1"/>
  <c r="C66" i="1"/>
  <c r="C65" i="1"/>
  <c r="AF15" i="9"/>
  <c r="AF32" i="1"/>
  <c r="AE43" i="1" s="1"/>
  <c r="AF33" i="1"/>
  <c r="AE44" i="1" s="1"/>
  <c r="AF34" i="1"/>
  <c r="AE45" i="1" s="1"/>
  <c r="AF35" i="1"/>
  <c r="AE46" i="1" s="1"/>
  <c r="AF36" i="1"/>
  <c r="AE47" i="1" s="1"/>
  <c r="AF37" i="1"/>
  <c r="AE48" i="1" s="1"/>
  <c r="AF38" i="1"/>
  <c r="AE49" i="1" s="1"/>
  <c r="AF39" i="1"/>
  <c r="AD32" i="1"/>
  <c r="AC43" i="1" s="1"/>
  <c r="AD33" i="1"/>
  <c r="AC44" i="1" s="1"/>
  <c r="AD34" i="1"/>
  <c r="AC45" i="1" s="1"/>
  <c r="AD35" i="1"/>
  <c r="AC46" i="1" s="1"/>
  <c r="AD36" i="1"/>
  <c r="AC47" i="1" s="1"/>
  <c r="AD37" i="1"/>
  <c r="AC48" i="1" s="1"/>
  <c r="AD38" i="1"/>
  <c r="AC49" i="1" s="1"/>
  <c r="AD39" i="1"/>
  <c r="AB33" i="1"/>
  <c r="AA44" i="1" s="1"/>
  <c r="AB34" i="1"/>
  <c r="AA45" i="1" s="1"/>
  <c r="AB35" i="1"/>
  <c r="AA46" i="1" s="1"/>
  <c r="AB36" i="1"/>
  <c r="AA47" i="1" s="1"/>
  <c r="AB37" i="1"/>
  <c r="AA48" i="1" s="1"/>
  <c r="AB38" i="1"/>
  <c r="AA49" i="1" s="1"/>
  <c r="AB39" i="1"/>
  <c r="O8" i="10"/>
  <c r="N8" i="10"/>
  <c r="K2" i="10"/>
  <c r="AG4" i="9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F1" i="1"/>
  <c r="Z4" i="8" l="1"/>
  <c r="Z5" i="8"/>
  <c r="Z11" i="8"/>
  <c r="Z13" i="8"/>
  <c r="Z14" i="8"/>
  <c r="Z16" i="8"/>
  <c r="Z17" i="8"/>
  <c r="Z18" i="8"/>
  <c r="Z19" i="8"/>
  <c r="Z20" i="8"/>
  <c r="Z21" i="8"/>
  <c r="Z22" i="8"/>
  <c r="Z23" i="8"/>
  <c r="Z24" i="8"/>
  <c r="J30" i="9"/>
  <c r="S40" i="1"/>
  <c r="U40" i="1"/>
  <c r="S41" i="1"/>
  <c r="U41" i="1"/>
  <c r="S42" i="1"/>
  <c r="U42" i="1"/>
  <c r="S43" i="1"/>
  <c r="U43" i="1"/>
  <c r="S44" i="1"/>
  <c r="U44" i="1"/>
  <c r="S45" i="1"/>
  <c r="U45" i="1"/>
  <c r="S46" i="1"/>
  <c r="U46" i="1"/>
  <c r="S47" i="1"/>
  <c r="U47" i="1"/>
  <c r="S48" i="1"/>
  <c r="U48" i="1"/>
  <c r="S49" i="1"/>
  <c r="U49" i="1"/>
  <c r="S50" i="1"/>
  <c r="U50" i="1"/>
  <c r="S51" i="1"/>
  <c r="U51" i="1"/>
  <c r="S52" i="1"/>
  <c r="U52" i="1"/>
  <c r="S53" i="1"/>
  <c r="U53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AN31" i="1" l="1"/>
  <c r="AM42" i="1" s="1"/>
  <c r="AN32" i="1"/>
  <c r="AM43" i="1" s="1"/>
  <c r="Z3" i="8"/>
  <c r="K26" i="9" a="1"/>
  <c r="K26" i="9" s="1"/>
  <c r="Z8" i="8"/>
  <c r="Z15" i="8"/>
  <c r="Z10" i="8"/>
  <c r="Z7" i="8"/>
  <c r="Z6" i="8"/>
  <c r="Z9" i="8"/>
  <c r="Z12" i="8"/>
  <c r="R29" i="1" a="1"/>
  <c r="L30" i="1"/>
  <c r="C23" i="1"/>
  <c r="M29" i="1" a="1"/>
  <c r="U39" i="1"/>
  <c r="U38" i="1"/>
  <c r="S38" i="1"/>
  <c r="S39" i="1"/>
  <c r="Y4" i="8"/>
  <c r="Y5" i="8"/>
  <c r="Y6" i="8"/>
  <c r="Y7" i="8"/>
  <c r="Y8" i="8"/>
  <c r="Y9" i="8"/>
  <c r="Y10" i="8"/>
  <c r="Y11" i="8"/>
  <c r="Y12" i="8"/>
  <c r="Y13" i="8"/>
  <c r="Y14" i="8"/>
  <c r="Y15" i="8"/>
  <c r="Y16" i="8"/>
  <c r="Y17" i="8"/>
  <c r="Y18" i="8"/>
  <c r="Y19" i="8"/>
  <c r="Y20" i="8"/>
  <c r="Y21" i="8"/>
  <c r="Y22" i="8"/>
  <c r="Y23" i="8"/>
  <c r="Y24" i="8"/>
  <c r="Y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X20" i="8"/>
  <c r="X21" i="8"/>
  <c r="X22" i="8"/>
  <c r="X23" i="8"/>
  <c r="X24" i="8"/>
  <c r="X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3" i="8"/>
  <c r="L43" i="8"/>
  <c r="M43" i="8"/>
  <c r="N43" i="8"/>
  <c r="O43" i="8"/>
  <c r="P43" i="8"/>
  <c r="Q43" i="8"/>
  <c r="R43" i="8"/>
  <c r="S43" i="8"/>
  <c r="T43" i="8"/>
  <c r="U43" i="8"/>
  <c r="L44" i="8"/>
  <c r="M44" i="8"/>
  <c r="N44" i="8"/>
  <c r="O44" i="8"/>
  <c r="P44" i="8"/>
  <c r="Q44" i="8"/>
  <c r="R44" i="8"/>
  <c r="S44" i="8"/>
  <c r="T44" i="8"/>
  <c r="U44" i="8"/>
  <c r="L45" i="8"/>
  <c r="M45" i="8"/>
  <c r="N45" i="8"/>
  <c r="O45" i="8"/>
  <c r="P45" i="8"/>
  <c r="Q45" i="8"/>
  <c r="R45" i="8"/>
  <c r="S45" i="8"/>
  <c r="T45" i="8"/>
  <c r="U45" i="8"/>
  <c r="L46" i="8"/>
  <c r="M46" i="8"/>
  <c r="N46" i="8"/>
  <c r="O46" i="8"/>
  <c r="P46" i="8"/>
  <c r="Q46" i="8"/>
  <c r="R46" i="8"/>
  <c r="S46" i="8"/>
  <c r="T46" i="8"/>
  <c r="U46" i="8"/>
  <c r="L47" i="8"/>
  <c r="M47" i="8"/>
  <c r="N47" i="8"/>
  <c r="O47" i="8"/>
  <c r="P47" i="8"/>
  <c r="Q47" i="8"/>
  <c r="R47" i="8"/>
  <c r="S47" i="8"/>
  <c r="T47" i="8"/>
  <c r="U47" i="8"/>
  <c r="L48" i="8"/>
  <c r="M48" i="8"/>
  <c r="N48" i="8"/>
  <c r="O48" i="8"/>
  <c r="P48" i="8"/>
  <c r="Q48" i="8"/>
  <c r="R48" i="8"/>
  <c r="S48" i="8"/>
  <c r="T48" i="8"/>
  <c r="U48" i="8"/>
  <c r="L49" i="8"/>
  <c r="M49" i="8"/>
  <c r="N49" i="8"/>
  <c r="O49" i="8"/>
  <c r="P49" i="8"/>
  <c r="Q49" i="8"/>
  <c r="R49" i="8"/>
  <c r="S49" i="8"/>
  <c r="T49" i="8"/>
  <c r="U49" i="8"/>
  <c r="L50" i="8"/>
  <c r="M50" i="8"/>
  <c r="N50" i="8"/>
  <c r="O50" i="8"/>
  <c r="P50" i="8"/>
  <c r="Q50" i="8"/>
  <c r="R50" i="8"/>
  <c r="S50" i="8"/>
  <c r="T50" i="8"/>
  <c r="U50" i="8"/>
  <c r="L51" i="8"/>
  <c r="M51" i="8"/>
  <c r="N51" i="8"/>
  <c r="O51" i="8"/>
  <c r="P51" i="8"/>
  <c r="Q51" i="8"/>
  <c r="R51" i="8"/>
  <c r="S51" i="8"/>
  <c r="T51" i="8"/>
  <c r="U51" i="8"/>
  <c r="L52" i="8"/>
  <c r="M52" i="8"/>
  <c r="N52" i="8"/>
  <c r="O52" i="8"/>
  <c r="P52" i="8"/>
  <c r="Q52" i="8"/>
  <c r="R52" i="8"/>
  <c r="S52" i="8"/>
  <c r="T52" i="8"/>
  <c r="U52" i="8"/>
  <c r="L53" i="8"/>
  <c r="M53" i="8"/>
  <c r="N53" i="8"/>
  <c r="O53" i="8"/>
  <c r="P53" i="8"/>
  <c r="Q53" i="8"/>
  <c r="R53" i="8"/>
  <c r="S53" i="8"/>
  <c r="T53" i="8"/>
  <c r="U53" i="8"/>
  <c r="L54" i="8"/>
  <c r="M54" i="8"/>
  <c r="N54" i="8"/>
  <c r="O54" i="8"/>
  <c r="P54" i="8"/>
  <c r="Q54" i="8"/>
  <c r="R54" i="8"/>
  <c r="S54" i="8"/>
  <c r="T54" i="8"/>
  <c r="U54" i="8"/>
  <c r="L55" i="8"/>
  <c r="M55" i="8"/>
  <c r="N55" i="8"/>
  <c r="O55" i="8"/>
  <c r="P55" i="8"/>
  <c r="Q55" i="8"/>
  <c r="R55" i="8"/>
  <c r="S55" i="8"/>
  <c r="T55" i="8"/>
  <c r="U55" i="8"/>
  <c r="L56" i="8"/>
  <c r="M56" i="8"/>
  <c r="N56" i="8"/>
  <c r="O56" i="8"/>
  <c r="P56" i="8"/>
  <c r="Q56" i="8"/>
  <c r="R56" i="8"/>
  <c r="S56" i="8"/>
  <c r="T56" i="8"/>
  <c r="U56" i="8"/>
  <c r="L57" i="8"/>
  <c r="M57" i="8"/>
  <c r="N57" i="8"/>
  <c r="O57" i="8"/>
  <c r="P57" i="8"/>
  <c r="Q57" i="8"/>
  <c r="R57" i="8"/>
  <c r="S57" i="8"/>
  <c r="T57" i="8"/>
  <c r="U57" i="8"/>
  <c r="L58" i="8"/>
  <c r="M58" i="8"/>
  <c r="N58" i="8"/>
  <c r="O58" i="8"/>
  <c r="P58" i="8"/>
  <c r="Q58" i="8"/>
  <c r="R58" i="8"/>
  <c r="S58" i="8"/>
  <c r="T58" i="8"/>
  <c r="U58" i="8"/>
  <c r="L59" i="8"/>
  <c r="M59" i="8"/>
  <c r="N59" i="8"/>
  <c r="O59" i="8"/>
  <c r="P59" i="8"/>
  <c r="Q59" i="8"/>
  <c r="R59" i="8"/>
  <c r="S59" i="8"/>
  <c r="T59" i="8"/>
  <c r="U59" i="8"/>
  <c r="L60" i="8"/>
  <c r="M60" i="8"/>
  <c r="N60" i="8"/>
  <c r="O60" i="8"/>
  <c r="P60" i="8"/>
  <c r="Q60" i="8"/>
  <c r="R60" i="8"/>
  <c r="S60" i="8"/>
  <c r="T60" i="8"/>
  <c r="U60" i="8"/>
  <c r="L61" i="8"/>
  <c r="M61" i="8"/>
  <c r="N61" i="8"/>
  <c r="O61" i="8"/>
  <c r="P61" i="8"/>
  <c r="Q61" i="8"/>
  <c r="R61" i="8"/>
  <c r="S61" i="8"/>
  <c r="T61" i="8"/>
  <c r="U61" i="8"/>
  <c r="L62" i="8"/>
  <c r="M62" i="8"/>
  <c r="N62" i="8"/>
  <c r="O62" i="8"/>
  <c r="P62" i="8"/>
  <c r="Q62" i="8"/>
  <c r="R62" i="8"/>
  <c r="S62" i="8"/>
  <c r="T62" i="8"/>
  <c r="U62" i="8"/>
  <c r="L63" i="8"/>
  <c r="M63" i="8"/>
  <c r="N63" i="8"/>
  <c r="O63" i="8"/>
  <c r="P63" i="8"/>
  <c r="Q63" i="8"/>
  <c r="R63" i="8"/>
  <c r="S63" i="8"/>
  <c r="T63" i="8"/>
  <c r="U63" i="8"/>
  <c r="U42" i="8"/>
  <c r="T42" i="8"/>
  <c r="S42" i="8"/>
  <c r="R42" i="8"/>
  <c r="Q42" i="8"/>
  <c r="P42" i="8"/>
  <c r="O42" i="8"/>
  <c r="N42" i="8"/>
  <c r="M42" i="8"/>
  <c r="L42" i="8"/>
  <c r="A43" i="8"/>
  <c r="B43" i="8"/>
  <c r="C43" i="8"/>
  <c r="D43" i="8"/>
  <c r="E43" i="8"/>
  <c r="F43" i="8"/>
  <c r="G43" i="8"/>
  <c r="H43" i="8"/>
  <c r="I43" i="8"/>
  <c r="J43" i="8"/>
  <c r="A44" i="8"/>
  <c r="B44" i="8"/>
  <c r="C44" i="8"/>
  <c r="D44" i="8"/>
  <c r="E44" i="8"/>
  <c r="F44" i="8"/>
  <c r="G44" i="8"/>
  <c r="H44" i="8"/>
  <c r="I44" i="8"/>
  <c r="J44" i="8"/>
  <c r="A45" i="8"/>
  <c r="B45" i="8"/>
  <c r="C45" i="8"/>
  <c r="D45" i="8"/>
  <c r="E45" i="8"/>
  <c r="F45" i="8"/>
  <c r="G45" i="8"/>
  <c r="H45" i="8"/>
  <c r="I45" i="8"/>
  <c r="J45" i="8"/>
  <c r="A46" i="8"/>
  <c r="B46" i="8"/>
  <c r="C46" i="8"/>
  <c r="D46" i="8"/>
  <c r="E46" i="8"/>
  <c r="F46" i="8"/>
  <c r="G46" i="8"/>
  <c r="H46" i="8"/>
  <c r="I46" i="8"/>
  <c r="J46" i="8"/>
  <c r="A47" i="8"/>
  <c r="B47" i="8"/>
  <c r="C47" i="8"/>
  <c r="D47" i="8"/>
  <c r="E47" i="8"/>
  <c r="F47" i="8"/>
  <c r="G47" i="8"/>
  <c r="H47" i="8"/>
  <c r="I47" i="8"/>
  <c r="J47" i="8"/>
  <c r="A48" i="8"/>
  <c r="B48" i="8"/>
  <c r="C48" i="8"/>
  <c r="D48" i="8"/>
  <c r="E48" i="8"/>
  <c r="F48" i="8"/>
  <c r="G48" i="8"/>
  <c r="H48" i="8"/>
  <c r="I48" i="8"/>
  <c r="J48" i="8"/>
  <c r="A49" i="8"/>
  <c r="B49" i="8"/>
  <c r="C49" i="8"/>
  <c r="D49" i="8"/>
  <c r="E49" i="8"/>
  <c r="F49" i="8"/>
  <c r="G49" i="8"/>
  <c r="H49" i="8"/>
  <c r="I49" i="8"/>
  <c r="J49" i="8"/>
  <c r="A50" i="8"/>
  <c r="B50" i="8"/>
  <c r="C50" i="8"/>
  <c r="D50" i="8"/>
  <c r="E50" i="8"/>
  <c r="F50" i="8"/>
  <c r="G50" i="8"/>
  <c r="H50" i="8"/>
  <c r="I50" i="8"/>
  <c r="J50" i="8"/>
  <c r="A51" i="8"/>
  <c r="B51" i="8"/>
  <c r="C51" i="8"/>
  <c r="D51" i="8"/>
  <c r="E51" i="8"/>
  <c r="F51" i="8"/>
  <c r="G51" i="8"/>
  <c r="H51" i="8"/>
  <c r="I51" i="8"/>
  <c r="J51" i="8"/>
  <c r="A52" i="8"/>
  <c r="B52" i="8"/>
  <c r="C52" i="8"/>
  <c r="D52" i="8"/>
  <c r="E52" i="8"/>
  <c r="F52" i="8"/>
  <c r="G52" i="8"/>
  <c r="H52" i="8"/>
  <c r="I52" i="8"/>
  <c r="J52" i="8"/>
  <c r="A53" i="8"/>
  <c r="B53" i="8"/>
  <c r="C53" i="8"/>
  <c r="D53" i="8"/>
  <c r="E53" i="8"/>
  <c r="F53" i="8"/>
  <c r="G53" i="8"/>
  <c r="H53" i="8"/>
  <c r="I53" i="8"/>
  <c r="J53" i="8"/>
  <c r="A54" i="8"/>
  <c r="B54" i="8"/>
  <c r="C54" i="8"/>
  <c r="D54" i="8"/>
  <c r="E54" i="8"/>
  <c r="F54" i="8"/>
  <c r="G54" i="8"/>
  <c r="H54" i="8"/>
  <c r="I54" i="8"/>
  <c r="J54" i="8"/>
  <c r="A55" i="8"/>
  <c r="B55" i="8"/>
  <c r="C55" i="8"/>
  <c r="D55" i="8"/>
  <c r="E55" i="8"/>
  <c r="F55" i="8"/>
  <c r="G55" i="8"/>
  <c r="H55" i="8"/>
  <c r="I55" i="8"/>
  <c r="J55" i="8"/>
  <c r="A56" i="8"/>
  <c r="B56" i="8"/>
  <c r="C56" i="8"/>
  <c r="D56" i="8"/>
  <c r="E56" i="8"/>
  <c r="F56" i="8"/>
  <c r="G56" i="8"/>
  <c r="H56" i="8"/>
  <c r="I56" i="8"/>
  <c r="J56" i="8"/>
  <c r="A57" i="8"/>
  <c r="B57" i="8"/>
  <c r="C57" i="8"/>
  <c r="D57" i="8"/>
  <c r="E57" i="8"/>
  <c r="F57" i="8"/>
  <c r="G57" i="8"/>
  <c r="H57" i="8"/>
  <c r="I57" i="8"/>
  <c r="J57" i="8"/>
  <c r="A58" i="8"/>
  <c r="B58" i="8"/>
  <c r="C58" i="8"/>
  <c r="D58" i="8"/>
  <c r="E58" i="8"/>
  <c r="F58" i="8"/>
  <c r="G58" i="8"/>
  <c r="H58" i="8"/>
  <c r="I58" i="8"/>
  <c r="J58" i="8"/>
  <c r="A59" i="8"/>
  <c r="B59" i="8"/>
  <c r="C59" i="8"/>
  <c r="D59" i="8"/>
  <c r="E59" i="8"/>
  <c r="F59" i="8"/>
  <c r="G59" i="8"/>
  <c r="H59" i="8"/>
  <c r="I59" i="8"/>
  <c r="J59" i="8"/>
  <c r="A60" i="8"/>
  <c r="B60" i="8"/>
  <c r="C60" i="8"/>
  <c r="D60" i="8"/>
  <c r="E60" i="8"/>
  <c r="F60" i="8"/>
  <c r="G60" i="8"/>
  <c r="H60" i="8"/>
  <c r="I60" i="8"/>
  <c r="J60" i="8"/>
  <c r="A61" i="8"/>
  <c r="B61" i="8"/>
  <c r="C61" i="8"/>
  <c r="D61" i="8"/>
  <c r="E61" i="8"/>
  <c r="F61" i="8"/>
  <c r="G61" i="8"/>
  <c r="H61" i="8"/>
  <c r="I61" i="8"/>
  <c r="J61" i="8"/>
  <c r="A62" i="8"/>
  <c r="B62" i="8"/>
  <c r="C62" i="8"/>
  <c r="D62" i="8"/>
  <c r="E62" i="8"/>
  <c r="F62" i="8"/>
  <c r="G62" i="8"/>
  <c r="H62" i="8"/>
  <c r="I62" i="8"/>
  <c r="J62" i="8"/>
  <c r="A63" i="8"/>
  <c r="B63" i="8"/>
  <c r="C63" i="8"/>
  <c r="D63" i="8"/>
  <c r="E63" i="8"/>
  <c r="F63" i="8"/>
  <c r="G63" i="8"/>
  <c r="H63" i="8"/>
  <c r="I63" i="8"/>
  <c r="J63" i="8"/>
  <c r="J42" i="8"/>
  <c r="I42" i="8"/>
  <c r="H42" i="8"/>
  <c r="G42" i="8"/>
  <c r="F42" i="8"/>
  <c r="E42" i="8"/>
  <c r="D42" i="8"/>
  <c r="C42" i="8"/>
  <c r="B42" i="8"/>
  <c r="A42" i="8"/>
  <c r="M6" i="8"/>
  <c r="B4" i="8"/>
  <c r="C4" i="8"/>
  <c r="D4" i="8"/>
  <c r="E4" i="8"/>
  <c r="F4" i="8"/>
  <c r="G4" i="8"/>
  <c r="H4" i="8"/>
  <c r="I4" i="8"/>
  <c r="J4" i="8"/>
  <c r="B5" i="8"/>
  <c r="C5" i="8"/>
  <c r="D5" i="8"/>
  <c r="E5" i="8"/>
  <c r="F5" i="8"/>
  <c r="G5" i="8"/>
  <c r="H5" i="8"/>
  <c r="I5" i="8"/>
  <c r="J5" i="8"/>
  <c r="B6" i="8"/>
  <c r="C6" i="8"/>
  <c r="D6" i="8"/>
  <c r="E6" i="8"/>
  <c r="F6" i="8"/>
  <c r="G6" i="8"/>
  <c r="H6" i="8"/>
  <c r="I6" i="8"/>
  <c r="J6" i="8"/>
  <c r="B7" i="8"/>
  <c r="C7" i="8"/>
  <c r="D7" i="8"/>
  <c r="E7" i="8"/>
  <c r="F7" i="8"/>
  <c r="G7" i="8"/>
  <c r="H7" i="8"/>
  <c r="I7" i="8"/>
  <c r="J7" i="8"/>
  <c r="B8" i="8"/>
  <c r="C8" i="8"/>
  <c r="D8" i="8"/>
  <c r="E8" i="8"/>
  <c r="F8" i="8"/>
  <c r="G8" i="8"/>
  <c r="H8" i="8"/>
  <c r="I8" i="8"/>
  <c r="J8" i="8"/>
  <c r="B9" i="8"/>
  <c r="C9" i="8"/>
  <c r="D9" i="8"/>
  <c r="E9" i="8"/>
  <c r="F9" i="8"/>
  <c r="G9" i="8"/>
  <c r="H9" i="8"/>
  <c r="I9" i="8"/>
  <c r="J9" i="8"/>
  <c r="B10" i="8"/>
  <c r="C10" i="8"/>
  <c r="D10" i="8"/>
  <c r="E10" i="8"/>
  <c r="F10" i="8"/>
  <c r="G10" i="8"/>
  <c r="H10" i="8"/>
  <c r="I10" i="8"/>
  <c r="J10" i="8"/>
  <c r="B11" i="8"/>
  <c r="C11" i="8"/>
  <c r="D11" i="8"/>
  <c r="E11" i="8"/>
  <c r="F11" i="8"/>
  <c r="G11" i="8"/>
  <c r="H11" i="8"/>
  <c r="I11" i="8"/>
  <c r="J11" i="8"/>
  <c r="B12" i="8"/>
  <c r="C12" i="8"/>
  <c r="D12" i="8"/>
  <c r="E12" i="8"/>
  <c r="F12" i="8"/>
  <c r="G12" i="8"/>
  <c r="H12" i="8"/>
  <c r="I12" i="8"/>
  <c r="J12" i="8"/>
  <c r="B13" i="8"/>
  <c r="C13" i="8"/>
  <c r="D13" i="8"/>
  <c r="E13" i="8"/>
  <c r="F13" i="8"/>
  <c r="G13" i="8"/>
  <c r="H13" i="8"/>
  <c r="I13" i="8"/>
  <c r="J13" i="8"/>
  <c r="B14" i="8"/>
  <c r="C14" i="8"/>
  <c r="D14" i="8"/>
  <c r="E14" i="8"/>
  <c r="F14" i="8"/>
  <c r="G14" i="8"/>
  <c r="H14" i="8"/>
  <c r="I14" i="8"/>
  <c r="J14" i="8"/>
  <c r="B15" i="8"/>
  <c r="C15" i="8"/>
  <c r="D15" i="8"/>
  <c r="E15" i="8"/>
  <c r="F15" i="8"/>
  <c r="G15" i="8"/>
  <c r="H15" i="8"/>
  <c r="I15" i="8"/>
  <c r="J15" i="8"/>
  <c r="B16" i="8"/>
  <c r="C16" i="8"/>
  <c r="D16" i="8"/>
  <c r="E16" i="8"/>
  <c r="F16" i="8"/>
  <c r="G16" i="8"/>
  <c r="H16" i="8"/>
  <c r="I16" i="8"/>
  <c r="J16" i="8"/>
  <c r="B17" i="8"/>
  <c r="C17" i="8"/>
  <c r="D17" i="8"/>
  <c r="E17" i="8"/>
  <c r="F17" i="8"/>
  <c r="G17" i="8"/>
  <c r="H17" i="8"/>
  <c r="I17" i="8"/>
  <c r="J17" i="8"/>
  <c r="B18" i="8"/>
  <c r="C18" i="8"/>
  <c r="D18" i="8"/>
  <c r="E18" i="8"/>
  <c r="F18" i="8"/>
  <c r="G18" i="8"/>
  <c r="H18" i="8"/>
  <c r="I18" i="8"/>
  <c r="J18" i="8"/>
  <c r="B19" i="8"/>
  <c r="C19" i="8"/>
  <c r="D19" i="8"/>
  <c r="E19" i="8"/>
  <c r="F19" i="8"/>
  <c r="G19" i="8"/>
  <c r="H19" i="8"/>
  <c r="I19" i="8"/>
  <c r="J19" i="8"/>
  <c r="B20" i="8"/>
  <c r="C20" i="8"/>
  <c r="D20" i="8"/>
  <c r="E20" i="8"/>
  <c r="F20" i="8"/>
  <c r="G20" i="8"/>
  <c r="H20" i="8"/>
  <c r="I20" i="8"/>
  <c r="J20" i="8"/>
  <c r="B21" i="8"/>
  <c r="C21" i="8"/>
  <c r="D21" i="8"/>
  <c r="E21" i="8"/>
  <c r="F21" i="8"/>
  <c r="G21" i="8"/>
  <c r="H21" i="8"/>
  <c r="I21" i="8"/>
  <c r="J21" i="8"/>
  <c r="B22" i="8"/>
  <c r="C22" i="8"/>
  <c r="D22" i="8"/>
  <c r="E22" i="8"/>
  <c r="F22" i="8"/>
  <c r="G22" i="8"/>
  <c r="H22" i="8"/>
  <c r="I22" i="8"/>
  <c r="J22" i="8"/>
  <c r="B23" i="8"/>
  <c r="C23" i="8"/>
  <c r="D23" i="8"/>
  <c r="E23" i="8"/>
  <c r="F23" i="8"/>
  <c r="G23" i="8"/>
  <c r="H23" i="8"/>
  <c r="I23" i="8"/>
  <c r="J23" i="8"/>
  <c r="B24" i="8"/>
  <c r="C24" i="8"/>
  <c r="D24" i="8"/>
  <c r="E24" i="8"/>
  <c r="F24" i="8"/>
  <c r="G24" i="8"/>
  <c r="H24" i="8"/>
  <c r="I24" i="8"/>
  <c r="J24" i="8"/>
  <c r="J3" i="8"/>
  <c r="I3" i="8"/>
  <c r="H3" i="8"/>
  <c r="G3" i="8"/>
  <c r="F3" i="8"/>
  <c r="E3" i="8"/>
  <c r="D3" i="8"/>
  <c r="C3" i="8"/>
  <c r="B3" i="8"/>
  <c r="M4" i="8"/>
  <c r="N4" i="8"/>
  <c r="O4" i="8"/>
  <c r="P4" i="8"/>
  <c r="Q4" i="8"/>
  <c r="R4" i="8"/>
  <c r="S4" i="8"/>
  <c r="T4" i="8"/>
  <c r="U4" i="8"/>
  <c r="M5" i="8"/>
  <c r="N5" i="8"/>
  <c r="O5" i="8"/>
  <c r="P5" i="8"/>
  <c r="Q5" i="8"/>
  <c r="R5" i="8"/>
  <c r="S5" i="8"/>
  <c r="T5" i="8"/>
  <c r="U5" i="8"/>
  <c r="N6" i="8"/>
  <c r="O6" i="8"/>
  <c r="P6" i="8"/>
  <c r="Q6" i="8"/>
  <c r="R6" i="8"/>
  <c r="S6" i="8"/>
  <c r="T6" i="8"/>
  <c r="U6" i="8"/>
  <c r="M7" i="8"/>
  <c r="N7" i="8"/>
  <c r="O7" i="8"/>
  <c r="P7" i="8"/>
  <c r="Q7" i="8"/>
  <c r="R7" i="8"/>
  <c r="S7" i="8"/>
  <c r="T7" i="8"/>
  <c r="U7" i="8"/>
  <c r="M8" i="8"/>
  <c r="N8" i="8"/>
  <c r="O8" i="8"/>
  <c r="P8" i="8"/>
  <c r="Q8" i="8"/>
  <c r="R8" i="8"/>
  <c r="S8" i="8"/>
  <c r="T8" i="8"/>
  <c r="U8" i="8"/>
  <c r="M9" i="8"/>
  <c r="N9" i="8"/>
  <c r="O9" i="8"/>
  <c r="P9" i="8"/>
  <c r="Q9" i="8"/>
  <c r="R9" i="8"/>
  <c r="S9" i="8"/>
  <c r="T9" i="8"/>
  <c r="U9" i="8"/>
  <c r="M10" i="8"/>
  <c r="N10" i="8"/>
  <c r="O10" i="8"/>
  <c r="P10" i="8"/>
  <c r="Q10" i="8"/>
  <c r="R10" i="8"/>
  <c r="S10" i="8"/>
  <c r="T10" i="8"/>
  <c r="U10" i="8"/>
  <c r="M11" i="8"/>
  <c r="N11" i="8"/>
  <c r="O11" i="8"/>
  <c r="P11" i="8"/>
  <c r="Q11" i="8"/>
  <c r="R11" i="8"/>
  <c r="S11" i="8"/>
  <c r="T11" i="8"/>
  <c r="U11" i="8"/>
  <c r="M12" i="8"/>
  <c r="N12" i="8"/>
  <c r="O12" i="8"/>
  <c r="P12" i="8"/>
  <c r="Q12" i="8"/>
  <c r="R12" i="8"/>
  <c r="S12" i="8"/>
  <c r="T12" i="8"/>
  <c r="U12" i="8"/>
  <c r="M13" i="8"/>
  <c r="N13" i="8"/>
  <c r="O13" i="8"/>
  <c r="P13" i="8"/>
  <c r="Q13" i="8"/>
  <c r="R13" i="8"/>
  <c r="S13" i="8"/>
  <c r="T13" i="8"/>
  <c r="U13" i="8"/>
  <c r="M14" i="8"/>
  <c r="N14" i="8"/>
  <c r="O14" i="8"/>
  <c r="P14" i="8"/>
  <c r="Q14" i="8"/>
  <c r="R14" i="8"/>
  <c r="S14" i="8"/>
  <c r="T14" i="8"/>
  <c r="U14" i="8"/>
  <c r="M15" i="8"/>
  <c r="N15" i="8"/>
  <c r="O15" i="8"/>
  <c r="P15" i="8"/>
  <c r="Q15" i="8"/>
  <c r="R15" i="8"/>
  <c r="S15" i="8"/>
  <c r="T15" i="8"/>
  <c r="U15" i="8"/>
  <c r="M16" i="8"/>
  <c r="N16" i="8"/>
  <c r="O16" i="8"/>
  <c r="P16" i="8"/>
  <c r="Q16" i="8"/>
  <c r="R16" i="8"/>
  <c r="S16" i="8"/>
  <c r="T16" i="8"/>
  <c r="U16" i="8"/>
  <c r="M17" i="8"/>
  <c r="N17" i="8"/>
  <c r="O17" i="8"/>
  <c r="P17" i="8"/>
  <c r="Q17" i="8"/>
  <c r="R17" i="8"/>
  <c r="S17" i="8"/>
  <c r="T17" i="8"/>
  <c r="U17" i="8"/>
  <c r="M18" i="8"/>
  <c r="N18" i="8"/>
  <c r="O18" i="8"/>
  <c r="P18" i="8"/>
  <c r="Q18" i="8"/>
  <c r="R18" i="8"/>
  <c r="S18" i="8"/>
  <c r="T18" i="8"/>
  <c r="U18" i="8"/>
  <c r="M19" i="8"/>
  <c r="N19" i="8"/>
  <c r="O19" i="8"/>
  <c r="P19" i="8"/>
  <c r="Q19" i="8"/>
  <c r="R19" i="8"/>
  <c r="S19" i="8"/>
  <c r="T19" i="8"/>
  <c r="U19" i="8"/>
  <c r="M20" i="8"/>
  <c r="N20" i="8"/>
  <c r="O20" i="8"/>
  <c r="P20" i="8"/>
  <c r="Q20" i="8"/>
  <c r="R20" i="8"/>
  <c r="S20" i="8"/>
  <c r="T20" i="8"/>
  <c r="U20" i="8"/>
  <c r="M21" i="8"/>
  <c r="N21" i="8"/>
  <c r="O21" i="8"/>
  <c r="P21" i="8"/>
  <c r="Q21" i="8"/>
  <c r="R21" i="8"/>
  <c r="S21" i="8"/>
  <c r="T21" i="8"/>
  <c r="U21" i="8"/>
  <c r="M22" i="8"/>
  <c r="N22" i="8"/>
  <c r="O22" i="8"/>
  <c r="P22" i="8"/>
  <c r="Q22" i="8"/>
  <c r="R22" i="8"/>
  <c r="S22" i="8"/>
  <c r="T22" i="8"/>
  <c r="U22" i="8"/>
  <c r="M23" i="8"/>
  <c r="N23" i="8"/>
  <c r="O23" i="8"/>
  <c r="P23" i="8"/>
  <c r="Q23" i="8"/>
  <c r="R23" i="8"/>
  <c r="S23" i="8"/>
  <c r="T23" i="8"/>
  <c r="U23" i="8"/>
  <c r="M24" i="8"/>
  <c r="N24" i="8"/>
  <c r="O24" i="8"/>
  <c r="P24" i="8"/>
  <c r="Q24" i="8"/>
  <c r="R24" i="8"/>
  <c r="S24" i="8"/>
  <c r="T24" i="8"/>
  <c r="U24" i="8"/>
  <c r="U3" i="8"/>
  <c r="T3" i="8"/>
  <c r="S3" i="8"/>
  <c r="R3" i="8"/>
  <c r="Q3" i="8"/>
  <c r="P3" i="8"/>
  <c r="O3" i="8"/>
  <c r="N3" i="8"/>
  <c r="M3" i="8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3" i="8"/>
  <c r="B28" i="1"/>
  <c r="C31" i="10" s="1"/>
  <c r="B15" i="9"/>
  <c r="AB25" i="9"/>
  <c r="AB26" i="9"/>
  <c r="AB19" i="9"/>
  <c r="AB20" i="9"/>
  <c r="AB21" i="9"/>
  <c r="AB22" i="9"/>
  <c r="AB23" i="9"/>
  <c r="AB24" i="9"/>
  <c r="G45" i="9"/>
  <c r="G44" i="9"/>
  <c r="G43" i="9"/>
  <c r="G42" i="9"/>
  <c r="G41" i="9"/>
  <c r="G40" i="9"/>
  <c r="G39" i="9"/>
  <c r="G38" i="9"/>
  <c r="G37" i="9"/>
  <c r="G36" i="9"/>
  <c r="G35" i="9"/>
  <c r="G34" i="9"/>
  <c r="Y49" i="1"/>
  <c r="Y48" i="1"/>
  <c r="H45" i="9" s="1"/>
  <c r="Y47" i="1"/>
  <c r="H44" i="9" s="1"/>
  <c r="Y46" i="1"/>
  <c r="H43" i="9" s="1"/>
  <c r="Y45" i="1"/>
  <c r="H42" i="9" s="1"/>
  <c r="Y44" i="1"/>
  <c r="H41" i="9" s="1"/>
  <c r="Y43" i="1"/>
  <c r="H40" i="9" s="1"/>
  <c r="Y42" i="1"/>
  <c r="H39" i="9" s="1"/>
  <c r="Y41" i="1"/>
  <c r="H38" i="9" s="1"/>
  <c r="Y40" i="1"/>
  <c r="H37" i="9" s="1"/>
  <c r="Y39" i="1"/>
  <c r="H36" i="9" s="1"/>
  <c r="Y38" i="1"/>
  <c r="H35" i="9" s="1"/>
  <c r="Y37" i="1"/>
  <c r="H34" i="9" s="1"/>
  <c r="W37" i="1"/>
  <c r="F34" i="9" s="1"/>
  <c r="W38" i="1"/>
  <c r="F35" i="9" s="1"/>
  <c r="W39" i="1"/>
  <c r="F36" i="9" s="1"/>
  <c r="W40" i="1"/>
  <c r="F37" i="9" s="1"/>
  <c r="W41" i="1"/>
  <c r="F38" i="9" s="1"/>
  <c r="W42" i="1"/>
  <c r="F39" i="9" s="1"/>
  <c r="W43" i="1"/>
  <c r="F40" i="9" s="1"/>
  <c r="W44" i="1"/>
  <c r="F41" i="9" s="1"/>
  <c r="W45" i="1"/>
  <c r="F42" i="9" s="1"/>
  <c r="W46" i="1"/>
  <c r="F43" i="9" s="1"/>
  <c r="W47" i="1"/>
  <c r="F44" i="9" s="1"/>
  <c r="W48" i="1"/>
  <c r="F45" i="9" s="1"/>
  <c r="W49" i="1"/>
  <c r="C23" i="9"/>
  <c r="B23" i="9"/>
  <c r="B27" i="9"/>
  <c r="C27" i="9"/>
  <c r="B28" i="9"/>
  <c r="C28" i="9"/>
  <c r="C29" i="9"/>
  <c r="C33" i="9"/>
  <c r="C34" i="9"/>
  <c r="C35" i="9"/>
  <c r="D35" i="9"/>
  <c r="C26" i="9"/>
  <c r="M27" i="1"/>
  <c r="F5" i="9"/>
  <c r="B5" i="9"/>
  <c r="D5" i="9"/>
  <c r="B6" i="9"/>
  <c r="B7" i="9"/>
  <c r="B8" i="9"/>
  <c r="B9" i="9"/>
  <c r="B10" i="9"/>
  <c r="B11" i="9"/>
  <c r="B12" i="9"/>
  <c r="B13" i="9"/>
  <c r="B14" i="9"/>
  <c r="B16" i="9"/>
  <c r="B17" i="9"/>
  <c r="D4" i="9"/>
  <c r="E4" i="9"/>
  <c r="B4" i="9"/>
  <c r="AG5" i="9"/>
  <c r="AG6" i="9"/>
  <c r="AG7" i="9"/>
  <c r="AG8" i="9"/>
  <c r="K30" i="9" l="1"/>
  <c r="K28" i="9"/>
  <c r="AF18" i="9"/>
  <c r="AG18" i="9" s="1"/>
  <c r="AN33" i="1"/>
  <c r="AM44" i="1" s="1"/>
  <c r="T35" i="1"/>
  <c r="S31" i="1"/>
  <c r="T31" i="1" s="1"/>
  <c r="S30" i="1"/>
  <c r="S32" i="1"/>
  <c r="N32" i="1"/>
  <c r="O32" i="1" s="1"/>
  <c r="N33" i="1"/>
  <c r="O33" i="1" s="1"/>
  <c r="N30" i="1"/>
  <c r="O30" i="1" s="1"/>
  <c r="N31" i="1"/>
  <c r="O31" i="1" s="1"/>
  <c r="E31" i="10"/>
  <c r="F31" i="10"/>
  <c r="G31" i="10"/>
  <c r="H31" i="10"/>
  <c r="D31" i="10"/>
  <c r="T34" i="1"/>
  <c r="O34" i="1"/>
  <c r="N36" i="1"/>
  <c r="O36" i="1" s="1"/>
  <c r="P36" i="1"/>
  <c r="R29" i="1"/>
  <c r="S29" i="1" s="1"/>
  <c r="T30" i="1"/>
  <c r="T32" i="1"/>
  <c r="Z26" i="8"/>
  <c r="F15" i="1" s="1"/>
  <c r="G17" i="9" s="1"/>
  <c r="M29" i="1"/>
  <c r="N29" i="1" s="1"/>
  <c r="O29" i="1" s="1"/>
  <c r="P34" i="1"/>
  <c r="P35" i="1"/>
  <c r="P33" i="1"/>
  <c r="N34" i="1"/>
  <c r="N35" i="1"/>
  <c r="O35" i="1" s="1"/>
  <c r="P32" i="1"/>
  <c r="P31" i="1"/>
  <c r="S34" i="1"/>
  <c r="S33" i="1"/>
  <c r="T33" i="1" s="1"/>
  <c r="S37" i="1"/>
  <c r="U31" i="1"/>
  <c r="U34" i="1"/>
  <c r="S35" i="1"/>
  <c r="U37" i="1"/>
  <c r="S36" i="1"/>
  <c r="U30" i="1"/>
  <c r="U35" i="1"/>
  <c r="U33" i="1"/>
  <c r="U32" i="1"/>
  <c r="P30" i="1"/>
  <c r="U36" i="1"/>
  <c r="X26" i="8"/>
  <c r="Y26" i="8"/>
  <c r="H23" i="1" s="1"/>
  <c r="W26" i="8"/>
  <c r="U65" i="8"/>
  <c r="P26" i="8"/>
  <c r="Q26" i="8"/>
  <c r="E26" i="8"/>
  <c r="B26" i="8"/>
  <c r="T26" i="8"/>
  <c r="A26" i="8"/>
  <c r="L26" i="8"/>
  <c r="E13" i="1"/>
  <c r="U26" i="8"/>
  <c r="E7" i="1"/>
  <c r="H26" i="8"/>
  <c r="O26" i="8"/>
  <c r="E9" i="1"/>
  <c r="E10" i="1"/>
  <c r="R26" i="8"/>
  <c r="E11" i="1"/>
  <c r="S26" i="8"/>
  <c r="E12" i="1"/>
  <c r="E5" i="1"/>
  <c r="M26" i="8"/>
  <c r="E6" i="1"/>
  <c r="N26" i="8"/>
  <c r="E4" i="1"/>
  <c r="E8" i="1"/>
  <c r="D26" i="8"/>
  <c r="F26" i="8"/>
  <c r="G26" i="8"/>
  <c r="J26" i="8"/>
  <c r="I26" i="8"/>
  <c r="C26" i="8"/>
  <c r="L1" i="1"/>
  <c r="A23" i="1"/>
  <c r="AN34" i="1" l="1"/>
  <c r="AM45" i="1" s="1"/>
  <c r="F45" i="10"/>
  <c r="F74" i="1" s="1"/>
  <c r="F40" i="10"/>
  <c r="F69" i="1" s="1"/>
  <c r="F43" i="10"/>
  <c r="F72" i="1" s="1"/>
  <c r="D45" i="10"/>
  <c r="D74" i="1" s="1"/>
  <c r="D43" i="10"/>
  <c r="D72" i="1" s="1"/>
  <c r="D40" i="10"/>
  <c r="D69" i="1" s="1"/>
  <c r="H45" i="10"/>
  <c r="H74" i="1" s="1"/>
  <c r="H40" i="10"/>
  <c r="H69" i="1" s="1"/>
  <c r="H43" i="10"/>
  <c r="H72" i="1" s="1"/>
  <c r="G45" i="10"/>
  <c r="G74" i="1" s="1"/>
  <c r="G40" i="10"/>
  <c r="G69" i="1" s="1"/>
  <c r="G43" i="10"/>
  <c r="G72" i="1" s="1"/>
  <c r="E45" i="10"/>
  <c r="E74" i="1" s="1"/>
  <c r="E40" i="10"/>
  <c r="E69" i="1" s="1"/>
  <c r="E43" i="10"/>
  <c r="E72" i="1" s="1"/>
  <c r="P29" i="1"/>
  <c r="J15" i="1"/>
  <c r="K23" i="1"/>
  <c r="T29" i="1"/>
  <c r="U29" i="1"/>
  <c r="J14" i="1"/>
  <c r="I23" i="1"/>
  <c r="P3" i="1"/>
  <c r="A1" i="1"/>
  <c r="B2" i="9" s="1"/>
  <c r="AN35" i="1" l="1"/>
  <c r="AM46" i="1" s="1"/>
  <c r="R15" i="1"/>
  <c r="AN36" i="1" l="1"/>
  <c r="AM47" i="1" s="1"/>
  <c r="F13" i="1"/>
  <c r="H65" i="8"/>
  <c r="D11" i="1" s="1"/>
  <c r="G13" i="9" s="1"/>
  <c r="B41" i="10" s="1"/>
  <c r="T65" i="8"/>
  <c r="F12" i="1" s="1"/>
  <c r="F65" i="8"/>
  <c r="D9" i="1" s="1"/>
  <c r="G11" i="9" s="1"/>
  <c r="B39" i="10" s="1"/>
  <c r="F37" i="10" s="1"/>
  <c r="R65" i="8"/>
  <c r="F10" i="1" s="1"/>
  <c r="E65" i="8"/>
  <c r="D8" i="1" s="1"/>
  <c r="G10" i="9" s="1"/>
  <c r="B38" i="10" s="1"/>
  <c r="Q65" i="8"/>
  <c r="F9" i="1" s="1"/>
  <c r="D65" i="8"/>
  <c r="D7" i="1" s="1"/>
  <c r="G9" i="9" s="1"/>
  <c r="B37" i="10" s="1"/>
  <c r="M65" i="8"/>
  <c r="F5" i="1" s="1"/>
  <c r="P65" i="8"/>
  <c r="F8" i="1" s="1"/>
  <c r="C65" i="8"/>
  <c r="D6" i="1" s="1"/>
  <c r="G8" i="9" s="1"/>
  <c r="B36" i="10" s="1"/>
  <c r="O65" i="8"/>
  <c r="F7" i="1" s="1"/>
  <c r="B65" i="8"/>
  <c r="D5" i="1" s="1"/>
  <c r="G7" i="9" s="1"/>
  <c r="B35" i="10" s="1"/>
  <c r="G34" i="10" s="1"/>
  <c r="N65" i="8"/>
  <c r="F6" i="1" s="1"/>
  <c r="A65" i="8"/>
  <c r="D4" i="1" s="1"/>
  <c r="L65" i="8"/>
  <c r="F4" i="1" s="1"/>
  <c r="I65" i="8"/>
  <c r="D12" i="1" s="1"/>
  <c r="G14" i="9" s="1"/>
  <c r="B42" i="10" s="1"/>
  <c r="B71" i="1" s="1"/>
  <c r="J65" i="8"/>
  <c r="D13" i="1" s="1"/>
  <c r="S65" i="8"/>
  <c r="F11" i="1" s="1"/>
  <c r="G65" i="8"/>
  <c r="D10" i="1" s="1"/>
  <c r="J29" i="9"/>
  <c r="J28" i="9"/>
  <c r="P5" i="1"/>
  <c r="P4" i="1"/>
  <c r="K24" i="1"/>
  <c r="G38" i="10" l="1"/>
  <c r="G67" i="1" s="1"/>
  <c r="B67" i="1"/>
  <c r="G36" i="10"/>
  <c r="G65" i="1" s="1"/>
  <c r="B70" i="1"/>
  <c r="G41" i="10"/>
  <c r="G70" i="1" s="1"/>
  <c r="B66" i="1"/>
  <c r="G37" i="10"/>
  <c r="G66" i="1" s="1"/>
  <c r="B68" i="1"/>
  <c r="G44" i="10"/>
  <c r="G73" i="1" s="1"/>
  <c r="B65" i="1"/>
  <c r="F66" i="1"/>
  <c r="H37" i="10"/>
  <c r="H66" i="1" s="1"/>
  <c r="F36" i="10"/>
  <c r="F65" i="1" s="1"/>
  <c r="H36" i="10"/>
  <c r="H65" i="1" s="1"/>
  <c r="F38" i="10"/>
  <c r="F67" i="1" s="1"/>
  <c r="H38" i="10"/>
  <c r="H67" i="1" s="1"/>
  <c r="F41" i="10"/>
  <c r="F70" i="1" s="1"/>
  <c r="H41" i="10"/>
  <c r="H70" i="1" s="1"/>
  <c r="F34" i="10"/>
  <c r="H34" i="10"/>
  <c r="F44" i="10"/>
  <c r="F73" i="1" s="1"/>
  <c r="H44" i="10"/>
  <c r="H73" i="1" s="1"/>
  <c r="AN37" i="1"/>
  <c r="AM48" i="1" s="1"/>
  <c r="D44" i="10"/>
  <c r="D73" i="1" s="1"/>
  <c r="E44" i="10"/>
  <c r="E73" i="1" s="1"/>
  <c r="D38" i="10"/>
  <c r="D67" i="1" s="1"/>
  <c r="E38" i="10"/>
  <c r="E67" i="1" s="1"/>
  <c r="D37" i="10"/>
  <c r="D66" i="1" s="1"/>
  <c r="E37" i="10"/>
  <c r="E66" i="1" s="1"/>
  <c r="D41" i="10"/>
  <c r="D70" i="1" s="1"/>
  <c r="E41" i="10"/>
  <c r="E70" i="1" s="1"/>
  <c r="D36" i="10"/>
  <c r="D65" i="1" s="1"/>
  <c r="E36" i="10"/>
  <c r="E65" i="1" s="1"/>
  <c r="D34" i="10"/>
  <c r="E34" i="10"/>
  <c r="R13" i="1"/>
  <c r="G15" i="9"/>
  <c r="B43" i="10" s="1"/>
  <c r="R10" i="1"/>
  <c r="G12" i="9"/>
  <c r="B40" i="10" s="1"/>
  <c r="R4" i="1"/>
  <c r="G6" i="9"/>
  <c r="B34" i="10" s="1"/>
  <c r="G35" i="10" s="1"/>
  <c r="R6" i="1"/>
  <c r="R8" i="1"/>
  <c r="R7" i="1"/>
  <c r="R5" i="1"/>
  <c r="R9" i="1"/>
  <c r="F14" i="1"/>
  <c r="R11" i="1"/>
  <c r="R12" i="1"/>
  <c r="P8" i="1"/>
  <c r="D23" i="9" s="1"/>
  <c r="J13" i="1"/>
  <c r="K29" i="9"/>
  <c r="AF4" i="9" s="1"/>
  <c r="P18" i="1"/>
  <c r="D33" i="9" s="1"/>
  <c r="AF6" i="9" s="1"/>
  <c r="J11" i="1"/>
  <c r="J8" i="1"/>
  <c r="J10" i="1"/>
  <c r="I24" i="1"/>
  <c r="H24" i="1"/>
  <c r="G39" i="10" l="1"/>
  <c r="G68" i="1" s="1"/>
  <c r="B69" i="1"/>
  <c r="G42" i="10"/>
  <c r="G71" i="1" s="1"/>
  <c r="B72" i="1"/>
  <c r="F39" i="10"/>
  <c r="F68" i="1" s="1"/>
  <c r="H39" i="10"/>
  <c r="H68" i="1" s="1"/>
  <c r="F35" i="10"/>
  <c r="H35" i="10"/>
  <c r="F42" i="10"/>
  <c r="F71" i="1" s="1"/>
  <c r="H42" i="10"/>
  <c r="H71" i="1" s="1"/>
  <c r="AN39" i="1"/>
  <c r="AN38" i="1"/>
  <c r="AM49" i="1" s="1"/>
  <c r="D35" i="10"/>
  <c r="E35" i="10"/>
  <c r="D39" i="10"/>
  <c r="D68" i="1" s="1"/>
  <c r="E39" i="10"/>
  <c r="E68" i="1" s="1"/>
  <c r="D42" i="10"/>
  <c r="D71" i="1" s="1"/>
  <c r="E42" i="10"/>
  <c r="E71" i="1" s="1"/>
  <c r="G16" i="9"/>
  <c r="B44" i="10" s="1"/>
  <c r="R14" i="1"/>
  <c r="Q10" i="1"/>
  <c r="S10" i="1" s="1"/>
  <c r="Q8" i="1"/>
  <c r="S8" i="1" s="1"/>
  <c r="Q13" i="1"/>
  <c r="S13" i="1" s="1"/>
  <c r="Q11" i="1"/>
  <c r="S11" i="1" s="1"/>
  <c r="P9" i="1"/>
  <c r="D17" i="9"/>
  <c r="Q15" i="1"/>
  <c r="S15" i="1" s="1"/>
  <c r="N20" i="1"/>
  <c r="B35" i="9" s="1"/>
  <c r="D15" i="9"/>
  <c r="K13" i="1"/>
  <c r="L13" i="1" s="1"/>
  <c r="J12" i="1"/>
  <c r="N18" i="1"/>
  <c r="B33" i="9" s="1"/>
  <c r="P13" i="1"/>
  <c r="D27" i="9" s="1"/>
  <c r="D13" i="9"/>
  <c r="D10" i="9"/>
  <c r="D12" i="9"/>
  <c r="T28" i="1"/>
  <c r="P14" i="1"/>
  <c r="D28" i="9" s="1"/>
  <c r="K8" i="1"/>
  <c r="J23" i="1"/>
  <c r="K10" i="1"/>
  <c r="K11" i="1"/>
  <c r="J9" i="1"/>
  <c r="K15" i="1"/>
  <c r="K14" i="1"/>
  <c r="J5" i="1"/>
  <c r="J4" i="1"/>
  <c r="J7" i="1"/>
  <c r="J6" i="1"/>
  <c r="G46" i="10" l="1"/>
  <c r="G75" i="1" s="1"/>
  <c r="B73" i="1"/>
  <c r="F46" i="10"/>
  <c r="F75" i="1" s="1"/>
  <c r="H46" i="10"/>
  <c r="H75" i="1" s="1"/>
  <c r="D46" i="10"/>
  <c r="D75" i="1" s="1"/>
  <c r="E46" i="10"/>
  <c r="E75" i="1" s="1"/>
  <c r="J24" i="1"/>
  <c r="Q4" i="1"/>
  <c r="S4" i="1" s="1"/>
  <c r="Q5" i="1"/>
  <c r="S5" i="1" s="1"/>
  <c r="Q9" i="1"/>
  <c r="S9" i="1" s="1"/>
  <c r="Q14" i="1"/>
  <c r="S14" i="1" s="1"/>
  <c r="Q6" i="1"/>
  <c r="S6" i="1" s="1"/>
  <c r="Q7" i="1"/>
  <c r="S7" i="1" s="1"/>
  <c r="Q12" i="1"/>
  <c r="S12" i="1" s="1"/>
  <c r="D14" i="9"/>
  <c r="K12" i="1"/>
  <c r="L12" i="1" s="1"/>
  <c r="X29" i="1" a="1"/>
  <c r="AM29" i="1" s="1"/>
  <c r="AM30" i="1" s="1" a="1"/>
  <c r="AM30" i="1" s="1"/>
  <c r="P6" i="1"/>
  <c r="D11" i="9"/>
  <c r="D7" i="9"/>
  <c r="D8" i="9"/>
  <c r="D9" i="9"/>
  <c r="D16" i="9"/>
  <c r="U28" i="1"/>
  <c r="H23" i="9" s="1"/>
  <c r="D6" i="9"/>
  <c r="L8" i="1"/>
  <c r="L15" i="1"/>
  <c r="L11" i="1"/>
  <c r="L10" i="1"/>
  <c r="N12" i="1"/>
  <c r="N15" i="1" s="1"/>
  <c r="M10" i="1" s="1"/>
  <c r="K4" i="1"/>
  <c r="K5" i="1"/>
  <c r="K6" i="1"/>
  <c r="K7" i="1"/>
  <c r="K9" i="1"/>
  <c r="AN30" i="1" l="1"/>
  <c r="AM41" i="1" s="1"/>
  <c r="AM28" i="1"/>
  <c r="Z35" i="1" s="1"/>
  <c r="AK29" i="1"/>
  <c r="AK30" i="1" s="1" a="1"/>
  <c r="AK30" i="1" s="1"/>
  <c r="AI29" i="1"/>
  <c r="AI30" i="1" s="1" a="1"/>
  <c r="AI30" i="1" s="1"/>
  <c r="AG29" i="1"/>
  <c r="AG30" i="1" s="1" a="1"/>
  <c r="AG30" i="1" s="1"/>
  <c r="AE29" i="1"/>
  <c r="AE30" i="1" s="1" a="1"/>
  <c r="AC29" i="1"/>
  <c r="AC30" i="1" s="1" a="1"/>
  <c r="M15" i="1"/>
  <c r="E17" i="9" s="1"/>
  <c r="G33" i="9"/>
  <c r="Y36" i="1"/>
  <c r="H33" i="9" s="1"/>
  <c r="Y35" i="1"/>
  <c r="H32" i="9" s="1"/>
  <c r="G32" i="9"/>
  <c r="W35" i="1"/>
  <c r="F32" i="9" s="1"/>
  <c r="W36" i="1"/>
  <c r="F33" i="9" s="1"/>
  <c r="M7" i="1"/>
  <c r="M11" i="1"/>
  <c r="M14" i="1"/>
  <c r="M12" i="1"/>
  <c r="M9" i="1"/>
  <c r="M3" i="1"/>
  <c r="M5" i="1"/>
  <c r="M8" i="1"/>
  <c r="M6" i="1"/>
  <c r="M4" i="1"/>
  <c r="M13" i="1"/>
  <c r="N17" i="1"/>
  <c r="W32" i="1"/>
  <c r="F28" i="9" s="1"/>
  <c r="W33" i="1"/>
  <c r="F29" i="9" s="1"/>
  <c r="G28" i="9"/>
  <c r="W34" i="1"/>
  <c r="F30" i="9" s="1"/>
  <c r="Y34" i="1"/>
  <c r="H30" i="9" s="1"/>
  <c r="Y33" i="1"/>
  <c r="H29" i="9" s="1"/>
  <c r="G27" i="9"/>
  <c r="Y32" i="1"/>
  <c r="H28" i="9" s="1"/>
  <c r="Y31" i="1"/>
  <c r="H27" i="9" s="1"/>
  <c r="Y30" i="1"/>
  <c r="H26" i="9" s="1"/>
  <c r="G30" i="9"/>
  <c r="G26" i="9"/>
  <c r="W30" i="1"/>
  <c r="F26" i="9" s="1"/>
  <c r="G29" i="9"/>
  <c r="W31" i="1"/>
  <c r="F27" i="9" s="1"/>
  <c r="X29" i="1"/>
  <c r="AA29" i="1" s="1"/>
  <c r="AA30" i="1" s="1" a="1"/>
  <c r="AA30" i="1" s="1"/>
  <c r="P15" i="1"/>
  <c r="P19" i="1"/>
  <c r="O3" i="1"/>
  <c r="O5" i="1"/>
  <c r="O4" i="1"/>
  <c r="O6" i="1"/>
  <c r="L7" i="1"/>
  <c r="L14" i="1"/>
  <c r="L6" i="1"/>
  <c r="L5" i="1"/>
  <c r="L4" i="1"/>
  <c r="L9" i="1"/>
  <c r="O7" i="1"/>
  <c r="AE30" i="1" l="1"/>
  <c r="AF30" i="1" s="1"/>
  <c r="AE41" i="1" s="1"/>
  <c r="AE28" i="1" s="1"/>
  <c r="Z31" i="1" s="1"/>
  <c r="I27" i="9" s="1"/>
  <c r="AF11" i="9" s="1"/>
  <c r="AF31" i="1"/>
  <c r="AE42" i="1" s="1"/>
  <c r="AC30" i="1"/>
  <c r="AD30" i="1" s="1"/>
  <c r="AC41" i="1" s="1"/>
  <c r="AD31" i="1"/>
  <c r="AC42" i="1" s="1"/>
  <c r="AF16" i="9"/>
  <c r="AF17" i="9"/>
  <c r="AG17" i="9" s="1"/>
  <c r="AB31" i="1"/>
  <c r="AA42" i="1" s="1"/>
  <c r="AB32" i="1"/>
  <c r="AA43" i="1" s="1"/>
  <c r="AJ30" i="1"/>
  <c r="AI41" i="1" s="1"/>
  <c r="AL30" i="1"/>
  <c r="AK41" i="1" s="1"/>
  <c r="AH30" i="1"/>
  <c r="AG41" i="1" s="1"/>
  <c r="D34" i="9"/>
  <c r="AF8" i="9" s="1"/>
  <c r="AF5" i="9" s="1"/>
  <c r="B50" i="10"/>
  <c r="T10" i="1"/>
  <c r="U10" i="1" s="1"/>
  <c r="B49" i="10"/>
  <c r="T6" i="1"/>
  <c r="U6" i="1" s="1"/>
  <c r="T7" i="1"/>
  <c r="U7" i="1" s="1"/>
  <c r="T14" i="1"/>
  <c r="U14" i="1" s="1"/>
  <c r="T9" i="1"/>
  <c r="U9" i="1" s="1"/>
  <c r="T4" i="1"/>
  <c r="U4" i="1" s="1"/>
  <c r="T5" i="1"/>
  <c r="U5" i="1" s="1"/>
  <c r="T12" i="1"/>
  <c r="U12" i="1" s="1"/>
  <c r="T11" i="1"/>
  <c r="U11" i="1" s="1"/>
  <c r="T8" i="1"/>
  <c r="U8" i="1" s="1"/>
  <c r="D29" i="9"/>
  <c r="T13" i="1"/>
  <c r="U13" i="1" s="1"/>
  <c r="B32" i="9"/>
  <c r="E5" i="9"/>
  <c r="M16" i="1"/>
  <c r="E15" i="9"/>
  <c r="W29" i="1"/>
  <c r="F25" i="9" s="1"/>
  <c r="Y29" i="1"/>
  <c r="H25" i="9" s="1"/>
  <c r="G25" i="9"/>
  <c r="AF7" i="9"/>
  <c r="B29" i="9"/>
  <c r="O12" i="1"/>
  <c r="N19" i="1"/>
  <c r="N21" i="1" s="1"/>
  <c r="P21" i="1"/>
  <c r="D37" i="9" s="1"/>
  <c r="D38" i="9" s="1"/>
  <c r="AG16" i="9" l="1"/>
  <c r="G49" i="10"/>
  <c r="G78" i="1" s="1"/>
  <c r="B78" i="1"/>
  <c r="G50" i="10"/>
  <c r="G79" i="1" s="1"/>
  <c r="B79" i="1"/>
  <c r="AC28" i="1"/>
  <c r="Z30" i="1" s="1"/>
  <c r="I26" i="9" s="1"/>
  <c r="AF10" i="9" s="1"/>
  <c r="AB30" i="1"/>
  <c r="AA41" i="1" s="1"/>
  <c r="AA28" i="1" s="1"/>
  <c r="F49" i="10"/>
  <c r="F78" i="1" s="1"/>
  <c r="H49" i="10"/>
  <c r="H78" i="1" s="1"/>
  <c r="F50" i="10"/>
  <c r="F79" i="1" s="1"/>
  <c r="H50" i="10"/>
  <c r="H79" i="1" s="1"/>
  <c r="AL31" i="1"/>
  <c r="AK42" i="1" s="1"/>
  <c r="AJ31" i="1"/>
  <c r="AI42" i="1" s="1"/>
  <c r="AH31" i="1"/>
  <c r="AG42" i="1" s="1"/>
  <c r="D49" i="10"/>
  <c r="D78" i="1" s="1"/>
  <c r="E49" i="10"/>
  <c r="E78" i="1" s="1"/>
  <c r="D50" i="10"/>
  <c r="D79" i="1" s="1"/>
  <c r="E50" i="10"/>
  <c r="E79" i="1" s="1"/>
  <c r="U3" i="1"/>
  <c r="S3" i="1" s="1"/>
  <c r="H5" i="9" s="1"/>
  <c r="I5" i="9" s="1"/>
  <c r="T3" i="1"/>
  <c r="F15" i="9"/>
  <c r="H15" i="9"/>
  <c r="Y28" i="1"/>
  <c r="B37" i="9"/>
  <c r="B38" i="9" s="1"/>
  <c r="B34" i="9"/>
  <c r="E12" i="9"/>
  <c r="F9" i="9"/>
  <c r="E9" i="9"/>
  <c r="E16" i="9"/>
  <c r="E13" i="9"/>
  <c r="E11" i="9"/>
  <c r="E7" i="9"/>
  <c r="E10" i="9"/>
  <c r="E8" i="9"/>
  <c r="E6" i="9"/>
  <c r="E14" i="9"/>
  <c r="Z29" i="1" l="1"/>
  <c r="I25" i="9" s="1"/>
  <c r="AF9" i="9" s="1"/>
  <c r="AG9" i="9" s="1"/>
  <c r="AF32" i="9"/>
  <c r="AJ32" i="1"/>
  <c r="AI43" i="1" s="1"/>
  <c r="AL32" i="1"/>
  <c r="AK43" i="1" s="1"/>
  <c r="AH32" i="1"/>
  <c r="AG43" i="1" s="1"/>
  <c r="W3" i="1"/>
  <c r="H8" i="9"/>
  <c r="H10" i="9"/>
  <c r="H7" i="9"/>
  <c r="F7" i="9"/>
  <c r="H11" i="9"/>
  <c r="F11" i="9"/>
  <c r="H13" i="9"/>
  <c r="F13" i="9"/>
  <c r="H6" i="9"/>
  <c r="F6" i="9"/>
  <c r="H16" i="9"/>
  <c r="F16" i="9"/>
  <c r="F8" i="9"/>
  <c r="H14" i="9"/>
  <c r="F14" i="9"/>
  <c r="F10" i="9"/>
  <c r="H12" i="9"/>
  <c r="F12" i="9"/>
  <c r="AL33" i="1" l="1"/>
  <c r="AK44" i="1" s="1"/>
  <c r="AJ33" i="1"/>
  <c r="AI44" i="1" s="1"/>
  <c r="AH33" i="1"/>
  <c r="AG44" i="1" s="1"/>
  <c r="N9" i="10"/>
  <c r="H17" i="9"/>
  <c r="F17" i="9"/>
  <c r="H9" i="9"/>
  <c r="AJ34" i="1" l="1"/>
  <c r="AI45" i="1" s="1"/>
  <c r="AL34" i="1"/>
  <c r="AK45" i="1" s="1"/>
  <c r="AH34" i="1"/>
  <c r="AG45" i="1" s="1"/>
  <c r="O9" i="10"/>
  <c r="AL35" i="1" l="1"/>
  <c r="AK46" i="1" s="1"/>
  <c r="AJ35" i="1"/>
  <c r="AI46" i="1" s="1"/>
  <c r="AH35" i="1"/>
  <c r="AG46" i="1" s="1"/>
  <c r="AJ36" i="1" l="1"/>
  <c r="AI47" i="1" s="1"/>
  <c r="AL36" i="1"/>
  <c r="AK47" i="1" s="1"/>
  <c r="AH36" i="1"/>
  <c r="AG47" i="1" s="1"/>
  <c r="AL37" i="1" l="1"/>
  <c r="AK48" i="1" s="1"/>
  <c r="AJ37" i="1"/>
  <c r="AI48" i="1" s="1"/>
  <c r="AH37" i="1"/>
  <c r="AG48" i="1" s="1"/>
  <c r="AL38" i="1" l="1"/>
  <c r="AK49" i="1" s="1"/>
  <c r="AK28" i="1" s="1"/>
  <c r="Z34" i="1" s="1"/>
  <c r="I30" i="9" s="1"/>
  <c r="AF14" i="9" s="1"/>
  <c r="AG14" i="9" s="1"/>
  <c r="AL39" i="1"/>
  <c r="AJ39" i="1"/>
  <c r="AJ38" i="1"/>
  <c r="AI49" i="1" s="1"/>
  <c r="AI28" i="1" s="1"/>
  <c r="Z33" i="1" s="1"/>
  <c r="I29" i="9" s="1"/>
  <c r="AF13" i="9" s="1"/>
  <c r="AH39" i="1"/>
  <c r="AH38" i="1"/>
  <c r="AG49" i="1" s="1"/>
  <c r="AG28" i="1" s="1"/>
  <c r="Z32" i="1" s="1"/>
  <c r="I28" i="9" s="1"/>
  <c r="AF12" i="9" s="1"/>
  <c r="AG13" i="9" l="1"/>
  <c r="AG12" i="9"/>
  <c r="AG11" i="9"/>
  <c r="AG10" i="9"/>
  <c r="AF31" i="9" l="1"/>
  <c r="J6" i="9" s="1"/>
  <c r="N11" i="10" s="1"/>
  <c r="J34" i="9" l="1"/>
  <c r="Q11" i="10"/>
  <c r="B51" i="10"/>
  <c r="G51" i="10" l="1"/>
  <c r="G80" i="1" s="1"/>
  <c r="E51" i="10"/>
  <c r="E80" i="1" s="1"/>
  <c r="D51" i="10"/>
  <c r="D80" i="1" s="1"/>
  <c r="F51" i="10"/>
  <c r="F80" i="1" s="1"/>
  <c r="B80" i="1"/>
  <c r="H51" i="10"/>
  <c r="H8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<sst xmlns="http://schemas.openxmlformats.org/spreadsheetml/2006/main" count="236" uniqueCount="166">
  <si>
    <t>DeviceType</t>
  </si>
  <si>
    <t>rma</t>
  </si>
  <si>
    <t>triage</t>
  </si>
  <si>
    <t>CLOCK TIME</t>
  </si>
  <si>
    <t>PROD TIME</t>
  </si>
  <si>
    <t>RMA HRS</t>
  </si>
  <si>
    <t>RTV HRS</t>
  </si>
  <si>
    <t>TTL TRIAGE HRS</t>
  </si>
  <si>
    <t>rmaQUOTA</t>
  </si>
  <si>
    <t>uphACTUAL</t>
  </si>
  <si>
    <t>RTV Events</t>
  </si>
  <si>
    <t>% to GOAL (weighted)</t>
  </si>
  <si>
    <t>taskTIME</t>
  </si>
  <si>
    <t>Honeywell</t>
  </si>
  <si>
    <t>report Date:</t>
  </si>
  <si>
    <t>Time Detail</t>
  </si>
  <si>
    <t>Productivity Synopsis</t>
  </si>
  <si>
    <t>Job Detail</t>
  </si>
  <si>
    <t>lunch</t>
  </si>
  <si>
    <t>Production Time</t>
  </si>
  <si>
    <t>Project Time</t>
  </si>
  <si>
    <t>Meeting Time</t>
  </si>
  <si>
    <t>other tasks</t>
  </si>
  <si>
    <t>TOT HRS</t>
  </si>
  <si>
    <t>BRK HRS</t>
  </si>
  <si>
    <t>TRIAGE HRS</t>
  </si>
  <si>
    <t>DSCS headcount</t>
  </si>
  <si>
    <t>Standard Allowance</t>
  </si>
  <si>
    <t>RTV</t>
  </si>
  <si>
    <t>PRV</t>
  </si>
  <si>
    <t>Qty</t>
  </si>
  <si>
    <t>Production Detail</t>
  </si>
  <si>
    <t>RMA</t>
  </si>
  <si>
    <t>Other Tasks Detail</t>
  </si>
  <si>
    <t>Detail</t>
  </si>
  <si>
    <t>Task Time</t>
  </si>
  <si>
    <t>non-allowance hrs</t>
  </si>
  <si>
    <t>PLAN</t>
  </si>
  <si>
    <t>ACTUAL</t>
  </si>
  <si>
    <t>Comp%</t>
  </si>
  <si>
    <t>Time not on RMA Triage analysis:</t>
  </si>
  <si>
    <t>Sched IN</t>
  </si>
  <si>
    <t>Sched OUT</t>
  </si>
  <si>
    <t>Rep IN</t>
  </si>
  <si>
    <t>Rep OUT</t>
  </si>
  <si>
    <t>Diff IN</t>
  </si>
  <si>
    <t>Diff OUT</t>
  </si>
  <si>
    <t>Actual Qty</t>
  </si>
  <si>
    <t>Compliance %</t>
  </si>
  <si>
    <t>rtv processing</t>
  </si>
  <si>
    <t>non-allowance</t>
  </si>
  <si>
    <t>break &amp; lunch</t>
  </si>
  <si>
    <t>Triage</t>
  </si>
  <si>
    <t>Qty @PLAN</t>
  </si>
  <si>
    <t>PLAN % to 1</t>
  </si>
  <si>
    <t>PLAN Production Time</t>
  </si>
  <si>
    <t>time off task</t>
  </si>
  <si>
    <t>time on task</t>
  </si>
  <si>
    <t>non-allowance hrs breakdown</t>
  </si>
  <si>
    <t>TOT Non-Allowance</t>
  </si>
  <si>
    <t>clock</t>
  </si>
  <si>
    <t>prov +- other</t>
  </si>
  <si>
    <t xml:space="preserve">prov  </t>
  </si>
  <si>
    <t>maybe and</t>
  </si>
  <si>
    <t>other</t>
  </si>
  <si>
    <t>det 1</t>
  </si>
  <si>
    <t>det 2</t>
  </si>
  <si>
    <t>det 3</t>
  </si>
  <si>
    <t>det 4</t>
  </si>
  <si>
    <t>det 5</t>
  </si>
  <si>
    <t>det 6</t>
  </si>
  <si>
    <t>det 7</t>
  </si>
  <si>
    <t>det 8</t>
  </si>
  <si>
    <t>det 9</t>
  </si>
  <si>
    <t>det 10</t>
  </si>
  <si>
    <t>det 11</t>
  </si>
  <si>
    <t>det 12</t>
  </si>
  <si>
    <t>det 13</t>
  </si>
  <si>
    <t>det 14</t>
  </si>
  <si>
    <t>det 15</t>
  </si>
  <si>
    <t>det 16</t>
  </si>
  <si>
    <t>det 17</t>
  </si>
  <si>
    <t>bridging comment</t>
  </si>
  <si>
    <t>ZebraRing</t>
  </si>
  <si>
    <t>day actual %</t>
  </si>
  <si>
    <t>ZebraZT</t>
  </si>
  <si>
    <t>ZebraMC</t>
  </si>
  <si>
    <t>ZebraTC</t>
  </si>
  <si>
    <t>PC</t>
  </si>
  <si>
    <t>Avery6140</t>
  </si>
  <si>
    <t>ZebraZD</t>
  </si>
  <si>
    <t>ZebraZQLn</t>
  </si>
  <si>
    <t>PointMobile</t>
  </si>
  <si>
    <t>UID</t>
  </si>
  <si>
    <t>Date</t>
  </si>
  <si>
    <t>Job</t>
  </si>
  <si>
    <t>Time</t>
  </si>
  <si>
    <t>e_Time</t>
  </si>
  <si>
    <t>Memo</t>
  </si>
  <si>
    <t>Device</t>
  </si>
  <si>
    <t>unit time</t>
  </si>
  <si>
    <t>unit count</t>
  </si>
  <si>
    <t>rma count</t>
  </si>
  <si>
    <t>rtv count</t>
  </si>
  <si>
    <t>PROV  HRS</t>
  </si>
  <si>
    <t>RTV TIME</t>
  </si>
  <si>
    <t>PRV TIME</t>
  </si>
  <si>
    <t>RMA TIME</t>
  </si>
  <si>
    <t>agent =</t>
  </si>
  <si>
    <t>chrlsim</t>
  </si>
  <si>
    <t>PRV QTY</t>
  </si>
  <si>
    <t>Prov Events</t>
  </si>
  <si>
    <t>Unique Devices:</t>
  </si>
  <si>
    <t>Vendor Returned Devices:</t>
  </si>
  <si>
    <t>triage_time_%</t>
  </si>
  <si>
    <t>% to goal without bridging</t>
  </si>
  <si>
    <t>bridging comment:</t>
  </si>
  <si>
    <t>filename =</t>
  </si>
  <si>
    <t>teampath=</t>
  </si>
  <si>
    <t xml:space="preserve">Device Name </t>
  </si>
  <si>
    <t>TC5x</t>
  </si>
  <si>
    <t>MC3x</t>
  </si>
  <si>
    <t>19xx</t>
  </si>
  <si>
    <t>ZQ6xx</t>
  </si>
  <si>
    <t>ZD62x</t>
  </si>
  <si>
    <t>ZT41x</t>
  </si>
  <si>
    <t>Laptops</t>
  </si>
  <si>
    <t>Avery</t>
  </si>
  <si>
    <t>RS5xxx</t>
  </si>
  <si>
    <t>DS3678</t>
  </si>
  <si>
    <t>Thinclient/Desktop</t>
  </si>
  <si>
    <t>Motorola</t>
  </si>
  <si>
    <t>Total</t>
  </si>
  <si>
    <t>Monday</t>
  </si>
  <si>
    <t>Tuesday</t>
  </si>
  <si>
    <t>Wednesday</t>
  </si>
  <si>
    <t>Thursday</t>
  </si>
  <si>
    <t>Friday</t>
  </si>
  <si>
    <t/>
  </si>
  <si>
    <t>TOTAL WORKING HRS</t>
  </si>
  <si>
    <t xml:space="preserve">TOTAL NON WORKING HRS </t>
  </si>
  <si>
    <t>A</t>
  </si>
  <si>
    <t>B</t>
  </si>
  <si>
    <t>C</t>
  </si>
  <si>
    <t>D</t>
  </si>
  <si>
    <t>E</t>
  </si>
  <si>
    <t>F</t>
  </si>
  <si>
    <t>LAPTOPS</t>
  </si>
  <si>
    <t>ZEBRADS</t>
  </si>
  <si>
    <t>MOTOROLA</t>
  </si>
  <si>
    <t>B26</t>
  </si>
  <si>
    <t>B28</t>
  </si>
  <si>
    <t>B30</t>
  </si>
  <si>
    <t>B32</t>
  </si>
  <si>
    <t>B34</t>
  </si>
  <si>
    <t>COMMENT</t>
  </si>
  <si>
    <t>full comments</t>
  </si>
  <si>
    <t>uniqueID</t>
  </si>
  <si>
    <t>date</t>
  </si>
  <si>
    <t>category</t>
  </si>
  <si>
    <t>starttime</t>
  </si>
  <si>
    <t>elapsedtime</t>
  </si>
  <si>
    <t>description/memo</t>
  </si>
  <si>
    <t>device</t>
  </si>
  <si>
    <t>qty</t>
  </si>
  <si>
    <t>W:\Team Spaces\RAD IT Engineering\NA RAD IT Engineering\RAD1\RAD1 RMA Reporting\Tech Reports\Charles.xlsm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</si>
</sst>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0000"/>
    <numFmt numFmtId="165" formatCode="[$-F800]dddd\,\ mmmm\ dd\,\ yyyy"/>
    <numFmt numFmtId="166" formatCode="[h]:mm:ss;@"/>
    <numFmt numFmtId="167" formatCode="[$-F400]h:mm:ss\ AM/PM"/>
    <numFmt numFmtId="168" formatCode="0.000%"/>
    <numFmt numFmtId="169" formatCode="yyyy\-mm\-dd"/>
    <numFmt numFmtId="170" formatCode="hh:mm:ss"/>
  </numFmts>
  <fonts count="47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0"/>
      <name val="Amazon Ember"/>
      <family val="2"/>
    </font>
    <font>
      <sz val="12"/>
      <color theme="0"/>
      <name val="Amazon Ember"/>
      <family val="2"/>
    </font>
    <font>
      <b/>
      <sz val="11"/>
      <color theme="1"/>
      <name val="Amazon Ember"/>
      <family val="2"/>
    </font>
    <font>
      <sz val="11"/>
      <color theme="1"/>
      <name val="Amazon Ember"/>
      <family val="2"/>
    </font>
    <font>
      <sz val="11"/>
      <color theme="0"/>
      <name val="Amazon Ember"/>
      <family val="2"/>
    </font>
    <font>
      <sz val="14"/>
      <color theme="0"/>
      <name val="Amazon Ember"/>
      <family val="2"/>
    </font>
    <font>
      <b/>
      <sz val="12"/>
      <color theme="3"/>
      <name val="Amazon Ember"/>
      <family val="2"/>
    </font>
    <font>
      <b/>
      <sz val="12"/>
      <color theme="0"/>
      <name val="Amazon Ember"/>
      <family val="2"/>
    </font>
    <font>
      <sz val="12"/>
      <color theme="5" tint="0.39997558519241921"/>
      <name val="Amazon Ember"/>
      <family val="2"/>
    </font>
    <font>
      <sz val="22"/>
      <color theme="5" tint="0.39997558519241921"/>
      <name val="Amazon Ember"/>
      <family val="2"/>
    </font>
    <font>
      <sz val="14"/>
      <color theme="8" tint="-0.249977111117893"/>
      <name val="Amazon Ember"/>
      <family val="2"/>
    </font>
    <font>
      <sz val="11"/>
      <color theme="1"/>
      <name val="Calibri"/>
      <family val="2"/>
      <scheme val="minor"/>
    </font>
    <font>
      <sz val="11"/>
      <color theme="5" tint="0.39997558519241921"/>
      <name val="Amazon Ember"/>
      <family val="2"/>
    </font>
    <font>
      <i/>
      <sz val="18"/>
      <color rgb="FFFF0000"/>
      <name val="Amazon Ember"/>
      <family val="2"/>
    </font>
    <font>
      <sz val="12"/>
      <color rgb="FFFFC000"/>
      <name val="Amazon Ember"/>
      <family val="2"/>
    </font>
    <font>
      <sz val="12"/>
      <color theme="1"/>
      <name val="Amazon Ember"/>
      <family val="2"/>
    </font>
    <font>
      <b/>
      <sz val="11"/>
      <color theme="0"/>
      <name val="Amazon Ember"/>
      <family val="2"/>
    </font>
    <font>
      <sz val="8"/>
      <color theme="5" tint="0.39997558519241921"/>
      <name val="Amazon Ember"/>
      <family val="2"/>
    </font>
    <font>
      <sz val="8"/>
      <color theme="0"/>
      <name val="Amazon Ember"/>
      <family val="2"/>
    </font>
    <font>
      <sz val="12"/>
      <color theme="1" tint="4.9989318521683403E-2"/>
      <name val="Amazon Ember"/>
      <family val="2"/>
    </font>
    <font>
      <i/>
      <sz val="9"/>
      <color theme="0"/>
      <name val="Amazon Ember"/>
      <family val="2"/>
    </font>
    <font>
      <b/>
      <sz val="15"/>
      <color theme="3"/>
      <name val="Calibri"/>
      <family val="2"/>
      <scheme val="minor"/>
    </font>
    <font>
      <b/>
      <u/>
      <sz val="15"/>
      <color theme="3"/>
      <name val="Amazon Ember"/>
      <family val="2"/>
    </font>
    <font>
      <sz val="12"/>
      <name val="Amazon Ember"/>
      <family val="2"/>
    </font>
    <font>
      <sz val="11"/>
      <name val="Amazon Ember"/>
      <family val="2"/>
    </font>
    <font>
      <sz val="10"/>
      <color theme="5" tint="0.39997558519241921"/>
      <name val="Amazon Ember"/>
      <family val="2"/>
    </font>
    <font>
      <sz val="8"/>
      <color rgb="FF002060"/>
      <name val="Amazon Ember"/>
      <family val="2"/>
    </font>
    <font>
      <sz val="8"/>
      <name val="Calibri"/>
      <family val="2"/>
      <scheme val="minor"/>
    </font>
    <font>
      <sz val="20"/>
      <color rgb="FF002060"/>
      <name val="Amazon Ember"/>
      <family val="2"/>
    </font>
    <font>
      <b/>
      <sz val="13"/>
      <color theme="3"/>
      <name val="Amazon Ember"/>
      <family val="2"/>
    </font>
    <font>
      <sz val="16"/>
      <color theme="0"/>
      <name val="Amazon Ember"/>
      <family val="2"/>
    </font>
    <font>
      <sz val="12"/>
      <color rgb="FFFF0000"/>
      <name val="Amazon Ember"/>
      <family val="2"/>
    </font>
    <font>
      <sz val="11"/>
      <color rgb="FFFF0000"/>
      <name val="Amazon Ember"/>
      <family val="2"/>
    </font>
    <font>
      <sz val="20"/>
      <color theme="5" tint="-0.249977111117893"/>
      <name val="Amazon Ember"/>
      <family val="2"/>
    </font>
    <font>
      <sz val="14"/>
      <color rgb="FF000000"/>
      <name val="Amazon Ember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color rgb="FF344054"/>
      <name val="Consolas"/>
      <family val="3"/>
    </font>
    <font>
      <sz val="16"/>
      <color theme="1"/>
      <name val="Amazon Ember"/>
      <family val="2"/>
    </font>
    <font>
      <sz val="16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</patternFill>
    </fill>
    <fill>
      <gradientFill degree="90">
        <stop position="0">
          <color theme="0"/>
        </stop>
        <stop position="1">
          <color theme="3" tint="0.40000610370189521"/>
        </stop>
      </gradient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ck">
        <color theme="5" tint="-0.499984740745262"/>
      </top>
      <bottom style="thick">
        <color theme="5" tint="-0.499984740745262"/>
      </bottom>
      <diagonal/>
    </border>
    <border>
      <left style="thin">
        <color auto="1"/>
      </left>
      <right style="thin">
        <color auto="1"/>
      </right>
      <top style="thick">
        <color theme="5" tint="-0.499984740745262"/>
      </top>
      <bottom style="thick">
        <color theme="5" tint="-0.49998474074526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ck">
        <color indexed="64"/>
      </top>
      <bottom/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9" fontId="14" fillId="0" borderId="0" applyFont="0" applyFill="0" applyBorder="0" applyAlignment="0" applyProtection="0"/>
    <xf numFmtId="0" fontId="2" fillId="7" borderId="0" applyNumberFormat="0" applyBorder="0" applyAlignment="0" applyProtection="0"/>
    <xf numFmtId="0" fontId="24" fillId="0" borderId="24" applyNumberFormat="0" applyFill="0" applyAlignment="0" applyProtection="0"/>
    <xf numFmtId="0" fontId="2" fillId="17" borderId="0" applyNumberFormat="0" applyBorder="0" applyAlignment="0" applyProtection="0"/>
    <xf numFmtId="0" fontId="41" fillId="0" borderId="0" applyNumberFormat="0" applyFill="0" applyBorder="0" applyAlignment="0" applyProtection="0"/>
  </cellStyleXfs>
  <cellXfs count="213">
    <xf numFmtId="0" fontId="0" fillId="0" borderId="0" xfId="0"/>
    <xf numFmtId="0" fontId="3" fillId="2" borderId="0" xfId="2" applyFont="1" applyAlignment="1">
      <alignment horizontal="center" vertical="center"/>
    </xf>
    <xf numFmtId="0" fontId="6" fillId="0" borderId="0" xfId="0" applyFont="1"/>
    <xf numFmtId="0" fontId="3" fillId="2" borderId="0" xfId="2" applyFont="1" applyAlignment="1">
      <alignment vertical="center" wrapText="1"/>
    </xf>
    <xf numFmtId="0" fontId="6" fillId="0" borderId="0" xfId="0" applyFont="1" applyAlignment="1">
      <alignment vertical="center"/>
    </xf>
    <xf numFmtId="0" fontId="6" fillId="0" borderId="0" xfId="0" applyFont="1" applyAlignment="1">
      <alignment vertical="center" wrapText="1"/>
    </xf>
    <xf numFmtId="0" fontId="7" fillId="2" borderId="6" xfId="2" applyFont="1" applyBorder="1" applyAlignment="1">
      <alignment horizontal="center" vertical="center"/>
    </xf>
    <xf numFmtId="0" fontId="7" fillId="2" borderId="8" xfId="2" applyFont="1" applyBorder="1" applyAlignment="1">
      <alignment horizontal="center" vertical="center"/>
    </xf>
    <xf numFmtId="0" fontId="7" fillId="3" borderId="9" xfId="3" applyFont="1" applyBorder="1" applyAlignment="1">
      <alignment horizontal="center" vertical="center"/>
    </xf>
    <xf numFmtId="165" fontId="4" fillId="2" borderId="0" xfId="2" applyNumberFormat="1" applyFont="1" applyAlignment="1">
      <alignment horizontal="center" vertical="center"/>
    </xf>
    <xf numFmtId="0" fontId="4" fillId="4" borderId="9" xfId="4" applyFont="1" applyBorder="1" applyAlignment="1">
      <alignment horizontal="center" vertical="center"/>
    </xf>
    <xf numFmtId="19" fontId="4" fillId="6" borderId="0" xfId="0" applyNumberFormat="1" applyFont="1" applyFill="1" applyAlignment="1">
      <alignment vertical="center"/>
    </xf>
    <xf numFmtId="166" fontId="10" fillId="4" borderId="9" xfId="4" applyNumberFormat="1" applyFont="1" applyBorder="1" applyAlignment="1">
      <alignment horizontal="center" vertical="center"/>
    </xf>
    <xf numFmtId="0" fontId="7" fillId="2" borderId="6" xfId="2" applyFont="1" applyBorder="1" applyAlignment="1">
      <alignment horizontal="center" vertical="center" wrapText="1"/>
    </xf>
    <xf numFmtId="0" fontId="7" fillId="2" borderId="8" xfId="2" applyFont="1" applyBorder="1" applyAlignment="1">
      <alignment horizontal="center" vertical="center" wrapText="1"/>
    </xf>
    <xf numFmtId="0" fontId="7" fillId="3" borderId="9" xfId="3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0" fontId="8" fillId="2" borderId="0" xfId="2" applyFont="1" applyAlignment="1">
      <alignment horizontal="right" vertical="center"/>
    </xf>
    <xf numFmtId="166" fontId="8" fillId="2" borderId="0" xfId="2" applyNumberFormat="1" applyFont="1" applyAlignment="1">
      <alignment vertical="center" wrapText="1"/>
    </xf>
    <xf numFmtId="0" fontId="6" fillId="5" borderId="0" xfId="0" applyFont="1" applyFill="1" applyAlignment="1">
      <alignment vertical="center"/>
    </xf>
    <xf numFmtId="166" fontId="4" fillId="2" borderId="14" xfId="2" applyNumberFormat="1" applyFont="1" applyBorder="1" applyAlignment="1">
      <alignment horizontal="center" vertical="center" wrapText="1"/>
    </xf>
    <xf numFmtId="166" fontId="4" fillId="2" borderId="11" xfId="2" applyNumberFormat="1" applyFont="1" applyBorder="1" applyAlignment="1">
      <alignment horizontal="center" vertical="center" wrapText="1"/>
    </xf>
    <xf numFmtId="166" fontId="4" fillId="2" borderId="16" xfId="2" applyNumberFormat="1" applyFont="1" applyBorder="1" applyAlignment="1">
      <alignment horizontal="center" vertical="center" wrapText="1"/>
    </xf>
    <xf numFmtId="0" fontId="3" fillId="2" borderId="0" xfId="2" applyFont="1" applyAlignment="1">
      <alignment vertical="center"/>
    </xf>
    <xf numFmtId="166" fontId="4" fillId="4" borderId="9" xfId="4" quotePrefix="1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5" borderId="0" xfId="0" applyFont="1" applyFill="1" applyAlignment="1">
      <alignment horizontal="center" vertical="center" wrapText="1"/>
    </xf>
    <xf numFmtId="167" fontId="8" fillId="2" borderId="0" xfId="2" applyNumberFormat="1" applyFont="1" applyAlignment="1">
      <alignment horizontal="center" vertical="center" wrapText="1"/>
    </xf>
    <xf numFmtId="0" fontId="8" fillId="2" borderId="0" xfId="2" applyFont="1" applyAlignment="1">
      <alignment horizontal="center" vertical="center" wrapText="1"/>
    </xf>
    <xf numFmtId="2" fontId="6" fillId="0" borderId="0" xfId="0" applyNumberFormat="1" applyFont="1" applyAlignment="1">
      <alignment vertical="center" wrapText="1"/>
    </xf>
    <xf numFmtId="0" fontId="3" fillId="2" borderId="0" xfId="2" applyFont="1" applyAlignment="1">
      <alignment horizontal="center" vertical="center" wrapText="1"/>
    </xf>
    <xf numFmtId="0" fontId="7" fillId="0" borderId="5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65" fontId="12" fillId="2" borderId="3" xfId="2" applyNumberFormat="1" applyFont="1" applyBorder="1" applyAlignment="1">
      <alignment vertical="center"/>
    </xf>
    <xf numFmtId="165" fontId="12" fillId="2" borderId="4" xfId="2" applyNumberFormat="1" applyFont="1" applyBorder="1" applyAlignment="1">
      <alignment vertical="center"/>
    </xf>
    <xf numFmtId="2" fontId="13" fillId="2" borderId="0" xfId="2" applyNumberFormat="1" applyFont="1" applyAlignment="1">
      <alignment horizontal="center" vertical="center"/>
    </xf>
    <xf numFmtId="0" fontId="7" fillId="3" borderId="20" xfId="3" applyFont="1" applyBorder="1" applyAlignment="1">
      <alignment horizontal="center" vertical="center"/>
    </xf>
    <xf numFmtId="0" fontId="7" fillId="3" borderId="20" xfId="3" applyFont="1" applyBorder="1" applyAlignment="1">
      <alignment horizontal="center" vertical="center" wrapText="1"/>
    </xf>
    <xf numFmtId="166" fontId="4" fillId="4" borderId="20" xfId="4" quotePrefix="1" applyNumberFormat="1" applyFont="1" applyBorder="1" applyAlignment="1">
      <alignment horizontal="center" vertical="center" wrapText="1"/>
    </xf>
    <xf numFmtId="0" fontId="7" fillId="3" borderId="22" xfId="3" applyFont="1" applyBorder="1" applyAlignment="1">
      <alignment horizontal="center" vertical="center"/>
    </xf>
    <xf numFmtId="0" fontId="7" fillId="3" borderId="22" xfId="3" applyFont="1" applyBorder="1" applyAlignment="1">
      <alignment horizontal="center" vertical="center" wrapText="1"/>
    </xf>
    <xf numFmtId="166" fontId="4" fillId="4" borderId="22" xfId="4" quotePrefix="1" applyNumberFormat="1" applyFont="1" applyBorder="1" applyAlignment="1">
      <alignment horizontal="center" vertical="center" wrapText="1"/>
    </xf>
    <xf numFmtId="2" fontId="4" fillId="4" borderId="22" xfId="4" applyNumberFormat="1" applyFont="1" applyBorder="1" applyAlignment="1">
      <alignment horizontal="center" vertical="center"/>
    </xf>
    <xf numFmtId="0" fontId="15" fillId="0" borderId="21" xfId="0" applyFont="1" applyBorder="1" applyAlignment="1">
      <alignment vertical="center"/>
    </xf>
    <xf numFmtId="0" fontId="15" fillId="3" borderId="22" xfId="3" applyFont="1" applyBorder="1" applyAlignment="1">
      <alignment horizontal="center" vertical="center"/>
    </xf>
    <xf numFmtId="0" fontId="15" fillId="3" borderId="22" xfId="3" applyFont="1" applyBorder="1" applyAlignment="1">
      <alignment horizontal="center" vertical="center" wrapText="1"/>
    </xf>
    <xf numFmtId="49" fontId="6" fillId="0" borderId="0" xfId="0" applyNumberFormat="1" applyFont="1" applyAlignment="1">
      <alignment vertical="center" wrapText="1"/>
    </xf>
    <xf numFmtId="10" fontId="4" fillId="4" borderId="9" xfId="5" applyNumberFormat="1" applyFont="1" applyFill="1" applyBorder="1" applyAlignment="1">
      <alignment horizontal="center" vertical="center"/>
    </xf>
    <xf numFmtId="0" fontId="15" fillId="3" borderId="22" xfId="3" applyFont="1" applyBorder="1" applyAlignment="1">
      <alignment horizontal="right" vertical="center"/>
    </xf>
    <xf numFmtId="10" fontId="4" fillId="4" borderId="22" xfId="5" applyNumberFormat="1" applyFont="1" applyFill="1" applyBorder="1" applyAlignment="1">
      <alignment horizontal="center" vertical="center"/>
    </xf>
    <xf numFmtId="14" fontId="16" fillId="8" borderId="11" xfId="6" applyNumberFormat="1" applyFont="1" applyFill="1" applyBorder="1" applyAlignment="1">
      <alignment horizontal="center" vertical="center"/>
    </xf>
    <xf numFmtId="0" fontId="0" fillId="9" borderId="0" xfId="0" applyFill="1"/>
    <xf numFmtId="0" fontId="7" fillId="10" borderId="0" xfId="0" applyFont="1" applyFill="1" applyAlignment="1">
      <alignment horizontal="center" vertical="center"/>
    </xf>
    <xf numFmtId="164" fontId="7" fillId="10" borderId="0" xfId="0" applyNumberFormat="1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14" fontId="11" fillId="2" borderId="2" xfId="2" applyNumberFormat="1" applyFont="1" applyBorder="1" applyAlignment="1">
      <alignment vertical="top"/>
    </xf>
    <xf numFmtId="0" fontId="4" fillId="0" borderId="0" xfId="0" applyFont="1" applyAlignment="1">
      <alignment vertical="center"/>
    </xf>
    <xf numFmtId="0" fontId="4" fillId="2" borderId="0" xfId="2" applyFont="1" applyAlignment="1">
      <alignment horizontal="right" vertical="center"/>
    </xf>
    <xf numFmtId="0" fontId="17" fillId="2" borderId="0" xfId="2" applyFont="1" applyAlignment="1">
      <alignment horizontal="center" vertical="center"/>
    </xf>
    <xf numFmtId="9" fontId="6" fillId="0" borderId="0" xfId="5" applyFont="1" applyAlignment="1">
      <alignment horizontal="center" vertical="center"/>
    </xf>
    <xf numFmtId="9" fontId="5" fillId="0" borderId="0" xfId="5" applyFont="1" applyAlignment="1">
      <alignment horizontal="center" vertical="center"/>
    </xf>
    <xf numFmtId="14" fontId="16" fillId="8" borderId="0" xfId="6" applyNumberFormat="1" applyFont="1" applyFill="1" applyBorder="1" applyAlignment="1">
      <alignment horizontal="center" vertical="center"/>
    </xf>
    <xf numFmtId="0" fontId="7" fillId="2" borderId="0" xfId="2" applyFont="1" applyBorder="1" applyAlignment="1">
      <alignment horizontal="center" vertical="center" wrapText="1"/>
    </xf>
    <xf numFmtId="2" fontId="4" fillId="4" borderId="9" xfId="5" applyNumberFormat="1" applyFont="1" applyFill="1" applyBorder="1" applyAlignment="1">
      <alignment horizontal="center" vertical="center"/>
    </xf>
    <xf numFmtId="19" fontId="7" fillId="6" borderId="0" xfId="0" applyNumberFormat="1" applyFont="1" applyFill="1" applyAlignment="1">
      <alignment horizontal="center" vertical="center" wrapText="1"/>
    </xf>
    <xf numFmtId="166" fontId="4" fillId="11" borderId="16" xfId="2" applyNumberFormat="1" applyFont="1" applyFill="1" applyBorder="1" applyAlignment="1">
      <alignment horizontal="center" vertical="center" wrapText="1"/>
    </xf>
    <xf numFmtId="0" fontId="20" fillId="11" borderId="13" xfId="2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vertical="center"/>
    </xf>
    <xf numFmtId="19" fontId="7" fillId="6" borderId="0" xfId="0" applyNumberFormat="1" applyFont="1" applyFill="1" applyAlignment="1">
      <alignment horizontal="center" vertical="center" shrinkToFit="1"/>
    </xf>
    <xf numFmtId="19" fontId="19" fillId="6" borderId="0" xfId="0" applyNumberFormat="1" applyFont="1" applyFill="1" applyAlignment="1">
      <alignment horizontal="center" vertical="center" shrinkToFit="1"/>
    </xf>
    <xf numFmtId="19" fontId="23" fillId="6" borderId="0" xfId="0" applyNumberFormat="1" applyFont="1" applyFill="1" applyAlignment="1">
      <alignment horizontal="center" vertical="center" wrapText="1"/>
    </xf>
    <xf numFmtId="166" fontId="10" fillId="4" borderId="9" xfId="4" applyNumberFormat="1" applyFont="1" applyBorder="1" applyAlignment="1">
      <alignment horizontal="center" vertical="center" shrinkToFit="1"/>
    </xf>
    <xf numFmtId="0" fontId="6" fillId="0" borderId="0" xfId="0" applyFont="1" applyAlignment="1">
      <alignment horizontal="center" vertical="center"/>
    </xf>
    <xf numFmtId="166" fontId="10" fillId="4" borderId="9" xfId="4" applyNumberFormat="1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14" fontId="25" fillId="0" borderId="0" xfId="7" applyNumberFormat="1" applyFont="1" applyBorder="1" applyAlignment="1"/>
    <xf numFmtId="10" fontId="4" fillId="12" borderId="22" xfId="5" applyNumberFormat="1" applyFont="1" applyFill="1" applyBorder="1" applyAlignment="1">
      <alignment horizontal="center" vertical="center"/>
    </xf>
    <xf numFmtId="0" fontId="20" fillId="11" borderId="0" xfId="2" applyFont="1" applyFill="1" applyBorder="1" applyAlignment="1">
      <alignment horizontal="center" vertical="center" wrapText="1"/>
    </xf>
    <xf numFmtId="166" fontId="4" fillId="13" borderId="16" xfId="2" applyNumberFormat="1" applyFont="1" applyFill="1" applyBorder="1" applyAlignment="1">
      <alignment horizontal="center" vertical="center" wrapText="1"/>
    </xf>
    <xf numFmtId="0" fontId="20" fillId="0" borderId="0" xfId="2" applyFont="1" applyFill="1" applyBorder="1" applyAlignment="1">
      <alignment horizontal="center" vertical="center" wrapText="1"/>
    </xf>
    <xf numFmtId="0" fontId="20" fillId="11" borderId="25" xfId="2" applyFont="1" applyFill="1" applyBorder="1" applyAlignment="1">
      <alignment horizontal="center" vertical="center" wrapText="1"/>
    </xf>
    <xf numFmtId="166" fontId="4" fillId="11" borderId="17" xfId="2" applyNumberFormat="1" applyFont="1" applyFill="1" applyBorder="1" applyAlignment="1">
      <alignment horizontal="center" vertical="center" wrapText="1"/>
    </xf>
    <xf numFmtId="2" fontId="26" fillId="0" borderId="0" xfId="5" applyNumberFormat="1" applyFont="1" applyFill="1" applyBorder="1" applyAlignment="1">
      <alignment horizontal="center" vertical="center"/>
    </xf>
    <xf numFmtId="2" fontId="4" fillId="0" borderId="0" xfId="5" applyNumberFormat="1" applyFont="1" applyFill="1" applyBorder="1" applyAlignment="1">
      <alignment horizontal="center" vertical="center"/>
    </xf>
    <xf numFmtId="2" fontId="4" fillId="4" borderId="26" xfId="5" applyNumberFormat="1" applyFont="1" applyFill="1" applyBorder="1" applyAlignment="1">
      <alignment horizontal="center" vertical="center"/>
    </xf>
    <xf numFmtId="2" fontId="22" fillId="4" borderId="0" xfId="5" applyNumberFormat="1" applyFont="1" applyFill="1" applyBorder="1" applyAlignment="1">
      <alignment horizontal="center" vertical="center"/>
    </xf>
    <xf numFmtId="0" fontId="11" fillId="2" borderId="12" xfId="2" applyFont="1" applyBorder="1" applyAlignment="1">
      <alignment horizontal="center" vertical="center" shrinkToFit="1"/>
    </xf>
    <xf numFmtId="0" fontId="11" fillId="2" borderId="18" xfId="2" applyFont="1" applyBorder="1" applyAlignment="1">
      <alignment horizontal="center" vertical="center" shrinkToFit="1"/>
    </xf>
    <xf numFmtId="0" fontId="11" fillId="11" borderId="13" xfId="2" applyFont="1" applyFill="1" applyBorder="1" applyAlignment="1">
      <alignment horizontal="center" vertical="center" shrinkToFit="1"/>
    </xf>
    <xf numFmtId="0" fontId="11" fillId="2" borderId="13" xfId="2" applyFont="1" applyBorder="1" applyAlignment="1">
      <alignment horizontal="center" vertical="center" shrinkToFit="1"/>
    </xf>
    <xf numFmtId="0" fontId="8" fillId="2" borderId="0" xfId="2" applyFont="1" applyAlignment="1">
      <alignment vertical="center"/>
    </xf>
    <xf numFmtId="166" fontId="4" fillId="0" borderId="0" xfId="2" applyNumberFormat="1" applyFont="1" applyFill="1" applyBorder="1" applyAlignment="1">
      <alignment horizontal="center" vertical="center" wrapText="1"/>
    </xf>
    <xf numFmtId="166" fontId="10" fillId="4" borderId="0" xfId="4" applyNumberFormat="1" applyFont="1" applyBorder="1" applyAlignment="1">
      <alignment horizontal="center" vertical="center"/>
    </xf>
    <xf numFmtId="14" fontId="25" fillId="0" borderId="0" xfId="7" applyNumberFormat="1" applyFont="1" applyBorder="1" applyAlignment="1">
      <alignment horizontal="center"/>
    </xf>
    <xf numFmtId="0" fontId="20" fillId="11" borderId="9" xfId="2" applyFont="1" applyFill="1" applyBorder="1" applyAlignment="1">
      <alignment horizontal="center" vertical="center" wrapText="1"/>
    </xf>
    <xf numFmtId="0" fontId="6" fillId="0" borderId="23" xfId="0" applyFont="1" applyBorder="1"/>
    <xf numFmtId="166" fontId="4" fillId="13" borderId="9" xfId="2" applyNumberFormat="1" applyFont="1" applyFill="1" applyBorder="1" applyAlignment="1">
      <alignment horizontal="center" vertical="center" wrapText="1"/>
    </xf>
    <xf numFmtId="0" fontId="6" fillId="0" borderId="9" xfId="0" applyFont="1" applyBorder="1"/>
    <xf numFmtId="19" fontId="19" fillId="6" borderId="9" xfId="0" applyNumberFormat="1" applyFont="1" applyFill="1" applyBorder="1" applyAlignment="1">
      <alignment horizontal="center" vertical="center" shrinkToFit="1"/>
    </xf>
    <xf numFmtId="166" fontId="4" fillId="11" borderId="9" xfId="2" applyNumberFormat="1" applyFont="1" applyFill="1" applyBorder="1" applyAlignment="1">
      <alignment horizontal="center" vertical="center" wrapText="1"/>
    </xf>
    <xf numFmtId="19" fontId="4" fillId="6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29" fillId="11" borderId="9" xfId="2" applyFont="1" applyFill="1" applyBorder="1" applyAlignment="1">
      <alignment horizontal="center" vertical="center" wrapText="1"/>
    </xf>
    <xf numFmtId="0" fontId="29" fillId="11" borderId="13" xfId="2" applyFont="1" applyFill="1" applyBorder="1" applyAlignment="1">
      <alignment horizontal="center" vertical="center" wrapText="1"/>
    </xf>
    <xf numFmtId="0" fontId="27" fillId="0" borderId="0" xfId="0" applyFont="1" applyAlignment="1">
      <alignment horizontal="left" vertical="center"/>
    </xf>
    <xf numFmtId="19" fontId="4" fillId="6" borderId="25" xfId="0" applyNumberFormat="1" applyFont="1" applyFill="1" applyBorder="1" applyAlignment="1">
      <alignment vertical="center" wrapText="1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top"/>
    </xf>
    <xf numFmtId="168" fontId="6" fillId="0" borderId="9" xfId="5" applyNumberFormat="1" applyFont="1" applyBorder="1" applyAlignment="1">
      <alignment horizontal="center" vertical="center"/>
    </xf>
    <xf numFmtId="2" fontId="26" fillId="0" borderId="0" xfId="5" applyNumberFormat="1" applyFont="1" applyFill="1" applyBorder="1" applyAlignment="1">
      <alignment horizontal="right" vertical="center"/>
    </xf>
    <xf numFmtId="49" fontId="0" fillId="0" borderId="20" xfId="0" applyNumberFormat="1" applyBorder="1" applyAlignment="1">
      <alignment vertical="center" wrapText="1"/>
    </xf>
    <xf numFmtId="0" fontId="20" fillId="11" borderId="20" xfId="2" applyFont="1" applyFill="1" applyBorder="1" applyAlignment="1">
      <alignment horizontal="center" vertical="center" wrapText="1"/>
    </xf>
    <xf numFmtId="166" fontId="4" fillId="11" borderId="20" xfId="2" applyNumberFormat="1" applyFont="1" applyFill="1" applyBorder="1" applyAlignment="1">
      <alignment horizontal="center" vertical="center" wrapText="1"/>
    </xf>
    <xf numFmtId="0" fontId="7" fillId="2" borderId="30" xfId="2" applyFont="1" applyBorder="1" applyAlignment="1">
      <alignment horizontal="center" vertical="center" wrapText="1"/>
    </xf>
    <xf numFmtId="2" fontId="4" fillId="4" borderId="10" xfId="5" applyNumberFormat="1" applyFont="1" applyFill="1" applyBorder="1" applyAlignment="1">
      <alignment horizontal="center" vertical="center"/>
    </xf>
    <xf numFmtId="2" fontId="31" fillId="4" borderId="29" xfId="5" applyNumberFormat="1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32" fillId="0" borderId="1" xfId="1" applyFont="1" applyAlignment="1">
      <alignment horizontal="center" vertical="center" wrapText="1"/>
    </xf>
    <xf numFmtId="0" fontId="32" fillId="0" borderId="1" xfId="1" applyFont="1" applyAlignment="1">
      <alignment horizontal="center" vertical="center"/>
    </xf>
    <xf numFmtId="0" fontId="9" fillId="0" borderId="1" xfId="1" applyFont="1" applyAlignment="1">
      <alignment horizontal="center" vertical="center" shrinkToFit="1"/>
    </xf>
    <xf numFmtId="2" fontId="4" fillId="2" borderId="15" xfId="2" applyNumberFormat="1" applyFont="1" applyBorder="1" applyAlignment="1">
      <alignment horizontal="center" vertical="center" shrinkToFit="1"/>
    </xf>
    <xf numFmtId="2" fontId="4" fillId="2" borderId="19" xfId="2" applyNumberFormat="1" applyFont="1" applyBorder="1" applyAlignment="1">
      <alignment horizontal="center" vertical="center" shrinkToFit="1"/>
    </xf>
    <xf numFmtId="2" fontId="4" fillId="2" borderId="17" xfId="2" applyNumberFormat="1" applyFont="1" applyBorder="1" applyAlignment="1">
      <alignment horizontal="center" vertical="center" shrinkToFit="1"/>
    </xf>
    <xf numFmtId="0" fontId="6" fillId="0" borderId="0" xfId="0" applyFont="1" applyAlignment="1">
      <alignment vertical="center" shrinkToFit="1"/>
    </xf>
    <xf numFmtId="19" fontId="4" fillId="6" borderId="0" xfId="0" applyNumberFormat="1" applyFont="1" applyFill="1" applyAlignment="1">
      <alignment vertical="center" shrinkToFit="1"/>
    </xf>
    <xf numFmtId="49" fontId="7" fillId="6" borderId="0" xfId="0" applyNumberFormat="1" applyFont="1" applyFill="1" applyAlignment="1">
      <alignment horizontal="center" vertical="center" shrinkToFit="1"/>
    </xf>
    <xf numFmtId="0" fontId="20" fillId="11" borderId="13" xfId="2" applyFont="1" applyFill="1" applyBorder="1" applyAlignment="1">
      <alignment horizontal="center" vertical="center" shrinkToFit="1"/>
    </xf>
    <xf numFmtId="0" fontId="6" fillId="0" borderId="0" xfId="0" applyFont="1" applyAlignment="1">
      <alignment horizontal="center" vertical="center" shrinkToFit="1"/>
    </xf>
    <xf numFmtId="166" fontId="4" fillId="11" borderId="16" xfId="2" applyNumberFormat="1" applyFont="1" applyFill="1" applyBorder="1" applyAlignment="1">
      <alignment horizontal="center" vertical="center" shrinkToFit="1"/>
    </xf>
    <xf numFmtId="0" fontId="0" fillId="14" borderId="0" xfId="0" applyFill="1"/>
    <xf numFmtId="165" fontId="12" fillId="2" borderId="3" xfId="2" applyNumberFormat="1" applyFont="1" applyBorder="1" applyAlignment="1">
      <alignment horizontal="center" vertical="center"/>
    </xf>
    <xf numFmtId="0" fontId="0" fillId="15" borderId="0" xfId="0" applyFill="1"/>
    <xf numFmtId="14" fontId="18" fillId="0" borderId="0" xfId="0" applyNumberFormat="1" applyFont="1" applyAlignment="1">
      <alignment vertical="center"/>
    </xf>
    <xf numFmtId="167" fontId="18" fillId="0" borderId="0" xfId="0" applyNumberFormat="1" applyFont="1" applyAlignment="1">
      <alignment vertical="center"/>
    </xf>
    <xf numFmtId="0" fontId="0" fillId="16" borderId="0" xfId="0" applyFill="1"/>
    <xf numFmtId="2" fontId="4" fillId="4" borderId="23" xfId="5" applyNumberFormat="1" applyFont="1" applyFill="1" applyBorder="1" applyAlignment="1">
      <alignment vertical="center"/>
    </xf>
    <xf numFmtId="0" fontId="7" fillId="3" borderId="22" xfId="3" applyFont="1" applyBorder="1" applyAlignment="1">
      <alignment horizontal="right" vertical="center"/>
    </xf>
    <xf numFmtId="2" fontId="34" fillId="4" borderId="9" xfId="5" applyNumberFormat="1" applyFont="1" applyFill="1" applyBorder="1" applyAlignment="1">
      <alignment horizontal="center" vertical="center"/>
    </xf>
    <xf numFmtId="10" fontId="34" fillId="4" borderId="9" xfId="5" applyNumberFormat="1" applyFont="1" applyFill="1" applyBorder="1" applyAlignment="1">
      <alignment horizontal="center" vertical="center"/>
    </xf>
    <xf numFmtId="0" fontId="35" fillId="3" borderId="9" xfId="3" applyFont="1" applyBorder="1" applyAlignment="1">
      <alignment horizontal="center" vertical="center"/>
    </xf>
    <xf numFmtId="10" fontId="31" fillId="4" borderId="29" xfId="5" applyNumberFormat="1" applyFont="1" applyFill="1" applyBorder="1" applyAlignment="1">
      <alignment horizontal="center" vertical="center"/>
    </xf>
    <xf numFmtId="9" fontId="6" fillId="0" borderId="0" xfId="5" applyFont="1" applyAlignment="1">
      <alignment vertical="center"/>
    </xf>
    <xf numFmtId="10" fontId="6" fillId="0" borderId="0" xfId="5" applyNumberFormat="1" applyFont="1" applyAlignment="1">
      <alignment vertical="center"/>
    </xf>
    <xf numFmtId="168" fontId="6" fillId="0" borderId="0" xfId="5" applyNumberFormat="1" applyFont="1" applyAlignment="1">
      <alignment vertical="center"/>
    </xf>
    <xf numFmtId="10" fontId="36" fillId="4" borderId="29" xfId="5" applyNumberFormat="1" applyFont="1" applyFill="1" applyBorder="1" applyAlignment="1">
      <alignment horizontal="center" vertical="center"/>
    </xf>
    <xf numFmtId="0" fontId="15" fillId="2" borderId="6" xfId="2" applyFont="1" applyBorder="1" applyAlignment="1">
      <alignment horizontal="center" vertical="center" wrapText="1"/>
    </xf>
    <xf numFmtId="10" fontId="0" fillId="0" borderId="0" xfId="5" applyNumberFormat="1" applyFont="1" applyAlignment="1">
      <alignment horizontal="center"/>
    </xf>
    <xf numFmtId="166" fontId="4" fillId="11" borderId="28" xfId="2" applyNumberFormat="1" applyFont="1" applyFill="1" applyBorder="1" applyAlignment="1">
      <alignment horizontal="center" vertical="center" wrapText="1"/>
    </xf>
    <xf numFmtId="166" fontId="4" fillId="11" borderId="0" xfId="2" applyNumberFormat="1" applyFont="1" applyFill="1" applyBorder="1" applyAlignment="1">
      <alignment horizontal="center" vertical="center" wrapText="1"/>
    </xf>
    <xf numFmtId="0" fontId="38" fillId="0" borderId="31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9" fillId="0" borderId="32" xfId="0" applyFont="1" applyBorder="1" applyAlignment="1">
      <alignment horizontal="center" vertical="center"/>
    </xf>
    <xf numFmtId="0" fontId="40" fillId="0" borderId="31" xfId="0" applyFont="1" applyBorder="1" applyAlignment="1">
      <alignment horizontal="center" vertical="center"/>
    </xf>
    <xf numFmtId="0" fontId="42" fillId="0" borderId="33" xfId="9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2" fillId="0" borderId="35" xfId="9" applyFont="1" applyBorder="1" applyAlignment="1">
      <alignment horizontal="center" vertical="center"/>
    </xf>
    <xf numFmtId="0" fontId="42" fillId="0" borderId="36" xfId="9" applyFont="1" applyBorder="1" applyAlignment="1">
      <alignment horizontal="center" vertical="center"/>
    </xf>
    <xf numFmtId="0" fontId="42" fillId="0" borderId="37" xfId="9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2" fillId="0" borderId="5" xfId="9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1" fontId="43" fillId="19" borderId="34" xfId="9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wrapText="1"/>
    </xf>
    <xf numFmtId="49" fontId="43" fillId="19" borderId="34" xfId="9" applyNumberFormat="1" applyFont="1" applyFill="1" applyBorder="1" applyAlignment="1" applyProtection="1">
      <alignment horizontal="left" vertical="center"/>
      <protection locked="0"/>
    </xf>
    <xf numFmtId="166" fontId="7" fillId="20" borderId="0" xfId="0" applyNumberFormat="1" applyFont="1" applyFill="1" applyAlignment="1">
      <alignment vertical="center" shrinkToFit="1"/>
    </xf>
    <xf numFmtId="0" fontId="7" fillId="20" borderId="0" xfId="0" applyFont="1" applyFill="1" applyAlignment="1">
      <alignment vertical="center" shrinkToFit="1"/>
    </xf>
    <xf numFmtId="166" fontId="7" fillId="21" borderId="0" xfId="0" applyNumberFormat="1" applyFont="1" applyFill="1" applyAlignment="1">
      <alignment vertical="center" shrinkToFit="1"/>
    </xf>
    <xf numFmtId="0" fontId="6" fillId="21" borderId="0" xfId="0" applyFont="1" applyFill="1" applyAlignment="1">
      <alignment vertical="center" shrinkToFit="1"/>
    </xf>
    <xf numFmtId="0" fontId="7" fillId="21" borderId="0" xfId="0" applyFont="1" applyFill="1" applyAlignment="1">
      <alignment vertical="center" shrinkToFit="1"/>
    </xf>
    <xf numFmtId="0" fontId="44" fillId="0" borderId="0" xfId="0" applyFont="1"/>
    <xf numFmtId="0" fontId="6" fillId="22" borderId="8" xfId="0" applyFont="1" applyFill="1" applyBorder="1" applyAlignment="1">
      <alignment vertical="center" shrinkToFit="1"/>
    </xf>
    <xf numFmtId="0" fontId="6" fillId="22" borderId="30" xfId="0" applyFont="1" applyFill="1" applyBorder="1" applyAlignment="1">
      <alignment vertical="center" shrinkToFit="1"/>
    </xf>
    <xf numFmtId="0" fontId="6" fillId="22" borderId="6" xfId="0" applyFont="1" applyFill="1" applyBorder="1" applyAlignment="1">
      <alignment vertical="center" shrinkToFit="1"/>
    </xf>
    <xf numFmtId="0" fontId="7" fillId="22" borderId="0" xfId="0" applyFont="1" applyFill="1" applyAlignment="1">
      <alignment vertical="center"/>
    </xf>
    <xf numFmtId="2" fontId="0" fillId="0" borderId="0" xfId="0" applyNumberFormat="1"/>
    <xf numFmtId="0" fontId="0" fillId="16" borderId="31" xfId="0" applyFill="1" applyBorder="1"/>
    <xf numFmtId="14" fontId="0" fillId="16" borderId="0" xfId="0" applyNumberFormat="1" applyFill="1"/>
    <xf numFmtId="21" fontId="0" fillId="16" borderId="0" xfId="0" applyNumberFormat="1" applyFill="1"/>
    <xf numFmtId="2" fontId="0" fillId="16" borderId="7" xfId="0" applyNumberFormat="1" applyFill="1" applyBorder="1"/>
    <xf numFmtId="0" fontId="0" fillId="16" borderId="38" xfId="0" applyFill="1" applyBorder="1"/>
    <xf numFmtId="0" fontId="0" fillId="16" borderId="39" xfId="0" applyFill="1" applyBorder="1"/>
    <xf numFmtId="2" fontId="0" fillId="16" borderId="40" xfId="0" applyNumberFormat="1" applyFill="1" applyBorder="1"/>
    <xf numFmtId="169" fontId="0" fillId="16" borderId="0" xfId="0" applyNumberFormat="1" applyFill="1"/>
    <xf numFmtId="170" fontId="0" fillId="16" borderId="0" xfId="0" applyNumberFormat="1" applyFill="1"/>
    <xf numFmtId="1" fontId="0" fillId="16" borderId="7" xfId="0" applyNumberFormat="1" applyFill="1" applyBorder="1"/>
    <xf numFmtId="0" fontId="46" fillId="0" borderId="0" xfId="0" applyFont="1"/>
    <xf numFmtId="10" fontId="46" fillId="0" borderId="0" xfId="5" applyNumberFormat="1" applyFont="1" applyAlignment="1">
      <alignment horizontal="center"/>
    </xf>
    <xf numFmtId="2" fontId="4" fillId="4" borderId="23" xfId="5" applyNumberFormat="1" applyFont="1" applyFill="1" applyBorder="1" applyAlignment="1">
      <alignment horizontal="center" vertical="center"/>
    </xf>
    <xf numFmtId="2" fontId="4" fillId="4" borderId="27" xfId="5" applyNumberFormat="1" applyFont="1" applyFill="1" applyBorder="1" applyAlignment="1">
      <alignment horizontal="center" vertical="center"/>
    </xf>
    <xf numFmtId="0" fontId="20" fillId="11" borderId="28" xfId="2" applyFont="1" applyFill="1" applyBorder="1" applyAlignment="1">
      <alignment horizontal="center" vertical="center" wrapText="1"/>
    </xf>
    <xf numFmtId="0" fontId="20" fillId="11" borderId="0" xfId="2" applyFont="1" applyFill="1" applyBorder="1" applyAlignment="1">
      <alignment horizontal="center" vertical="center" wrapText="1"/>
    </xf>
    <xf numFmtId="166" fontId="4" fillId="11" borderId="28" xfId="2" applyNumberFormat="1" applyFont="1" applyFill="1" applyBorder="1" applyAlignment="1">
      <alignment horizontal="center" vertical="center" wrapText="1"/>
    </xf>
    <xf numFmtId="166" fontId="4" fillId="11" borderId="0" xfId="2" applyNumberFormat="1" applyFont="1" applyFill="1" applyBorder="1" applyAlignment="1">
      <alignment horizontal="center" vertical="center" wrapText="1"/>
    </xf>
    <xf numFmtId="0" fontId="6" fillId="18" borderId="23" xfId="0" applyFont="1" applyFill="1" applyBorder="1" applyAlignment="1">
      <alignment horizontal="left" vertical="top" wrapText="1"/>
    </xf>
    <xf numFmtId="0" fontId="6" fillId="18" borderId="0" xfId="0" applyFont="1" applyFill="1" applyAlignment="1">
      <alignment horizontal="left" vertical="top" wrapText="1"/>
    </xf>
    <xf numFmtId="0" fontId="45" fillId="18" borderId="0" xfId="0" applyFont="1" applyFill="1" applyAlignment="1">
      <alignment horizontal="left" vertical="top" wrapText="1"/>
    </xf>
    <xf numFmtId="0" fontId="33" fillId="17" borderId="0" xfId="8" applyFont="1" applyAlignment="1">
      <alignment horizontal="center"/>
    </xf>
    <xf numFmtId="0" fontId="7" fillId="0" borderId="0" xfId="0" applyFont="1" applyAlignment="1">
      <alignment horizontal="left" vertical="center" wrapText="1"/>
    </xf>
    <xf numFmtId="14" fontId="25" fillId="0" borderId="31" xfId="7" applyNumberFormat="1" applyFont="1" applyBorder="1" applyAlignment="1">
      <alignment horizontal="center"/>
    </xf>
    <xf numFmtId="14" fontId="25" fillId="0" borderId="0" xfId="7" applyNumberFormat="1" applyFont="1" applyBorder="1" applyAlignment="1">
      <alignment horizontal="center"/>
    </xf>
    <xf numFmtId="0" fontId="28" fillId="11" borderId="10" xfId="2" applyFont="1" applyFill="1" applyBorder="1" applyAlignment="1">
      <alignment horizontal="center" vertical="center" wrapText="1"/>
    </xf>
    <xf numFmtId="0" fontId="28" fillId="11" borderId="9" xfId="2" applyFont="1" applyFill="1" applyBorder="1" applyAlignment="1">
      <alignment horizontal="center" vertical="center" wrapText="1"/>
    </xf>
    <xf numFmtId="0" fontId="20" fillId="11" borderId="9" xfId="2" applyFont="1" applyFill="1" applyBorder="1" applyAlignment="1">
      <alignment horizontal="center" vertical="center" wrapText="1"/>
    </xf>
    <xf numFmtId="10" fontId="4" fillId="4" borderId="18" xfId="5" applyNumberFormat="1" applyFont="1" applyFill="1" applyBorder="1" applyAlignment="1">
      <alignment horizontal="center" vertical="center"/>
    </xf>
    <xf numFmtId="10" fontId="4" fillId="4" borderId="19" xfId="5" applyNumberFormat="1" applyFont="1" applyFill="1" applyBorder="1" applyAlignment="1">
      <alignment horizontal="center" vertical="center"/>
    </xf>
    <xf numFmtId="0" fontId="11" fillId="11" borderId="18" xfId="2" applyFont="1" applyFill="1" applyBorder="1" applyAlignment="1">
      <alignment horizontal="center" vertical="center" wrapText="1"/>
    </xf>
    <xf numFmtId="0" fontId="11" fillId="11" borderId="19" xfId="2" applyFont="1" applyFill="1" applyBorder="1" applyAlignment="1">
      <alignment horizontal="center" vertical="center" wrapText="1"/>
    </xf>
    <xf numFmtId="166" fontId="4" fillId="11" borderId="18" xfId="2" applyNumberFormat="1" applyFont="1" applyFill="1" applyBorder="1" applyAlignment="1">
      <alignment horizontal="center" vertical="center" wrapText="1"/>
    </xf>
    <xf numFmtId="166" fontId="4" fillId="11" borderId="19" xfId="2" applyNumberFormat="1" applyFont="1" applyFill="1" applyBorder="1" applyAlignment="1">
      <alignment horizontal="center" vertical="center" wrapText="1"/>
    </xf>
  </cellXfs>
  <cellStyles count="10">
    <cellStyle name="Accent1" xfId="2" builtinId="29"/>
    <cellStyle name="Accent2" xfId="8" builtinId="33"/>
    <cellStyle name="Accent3" xfId="3" builtinId="37"/>
    <cellStyle name="Accent5" xfId="6" builtinId="45"/>
    <cellStyle name="Accent6" xfId="4" builtinId="49"/>
    <cellStyle name="Followed Hyperlink" xfId="9" builtinId="9"/>
    <cellStyle name="Heading 1" xfId="7" builtinId="16"/>
    <cellStyle name="Heading 2" xfId="1" builtinId="17"/>
    <cellStyle name="Normal" xfId="0" builtinId="0"/>
    <cellStyle name="Percent" xfId="5" builtinId="5"/>
  </cellStyles>
  <dxfs count="101"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0.5">
            <color theme="4" tint="-0.49803155613879818"/>
          </stop>
          <stop position="1">
            <color theme="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0.5">
            <color theme="4" tint="-0.49803155613879818"/>
          </stop>
          <stop position="1">
            <color theme="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0.5">
            <color theme="4" tint="-0.49803155613879818"/>
          </stop>
          <stop position="1">
            <color theme="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0.5">
            <color theme="4" tint="-0.49803155613879818"/>
          </stop>
          <stop position="1">
            <color theme="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0.5">
            <color theme="4" tint="-0.49803155613879818"/>
          </stop>
          <stop position="1">
            <color theme="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0.5">
            <color theme="4" tint="-0.49803155613879818"/>
          </stop>
          <stop position="1">
            <color theme="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0.5">
            <color theme="4" tint="-0.49803155613879818"/>
          </stop>
          <stop position="1">
            <color theme="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0.5">
            <color theme="4" tint="-0.49803155613879818"/>
          </stop>
          <stop position="1">
            <color theme="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0.5">
            <color theme="4" tint="-0.49803155613879818"/>
          </stop>
          <stop position="1">
            <color theme="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4" tint="-0.24994659260841701"/>
      </font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0.5">
            <color theme="4" tint="-0.49803155613879818"/>
          </stop>
          <stop position="1">
            <color theme="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0.5">
            <color theme="4" tint="-0.49803155613879818"/>
          </stop>
          <stop position="1">
            <color theme="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4" tint="-0.24994659260841701"/>
      </font>
    </dxf>
    <dxf>
      <font>
        <b/>
        <i val="0"/>
        <color theme="4" tint="-0.24994659260841701"/>
      </font>
    </dxf>
    <dxf>
      <font>
        <b/>
        <i val="0"/>
        <color theme="4" tint="-0.24994659260841701"/>
      </font>
    </dxf>
    <dxf>
      <font>
        <b/>
        <i val="0"/>
        <color theme="4" tint="-0.24994659260841701"/>
      </font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4" tint="-0.24994659260841701"/>
      </font>
    </dxf>
    <dxf>
      <font>
        <b/>
        <i val="0"/>
        <color theme="4" tint="-0.24994659260841701"/>
      </font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0.5">
            <color theme="4" tint="-0.49803155613879818"/>
          </stop>
          <stop position="1">
            <color theme="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0.5">
            <color theme="4" tint="-0.49803155613879818"/>
          </stop>
          <stop position="1">
            <color theme="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0.5">
            <color theme="4" tint="-0.49803155613879818"/>
          </stop>
          <stop position="1">
            <color theme="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0.5">
            <color theme="4" tint="-0.49803155613879818"/>
          </stop>
          <stop position="1">
            <color theme="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0.5">
            <color theme="4" tint="-0.49803155613879818"/>
          </stop>
          <stop position="1">
            <color theme="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0.5">
            <color theme="4" tint="-0.49803155613879818"/>
          </stop>
          <stop position="1">
            <color theme="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0.5">
            <color theme="4" tint="-0.49803155613879818"/>
          </stop>
          <stop position="1">
            <color theme="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C00000"/>
      </font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4" tint="-0.24994659260841701"/>
      </font>
    </dxf>
    <dxf>
      <font>
        <b/>
        <i val="0"/>
        <color theme="4" tint="-0.24994659260841701"/>
      </font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4" tint="-0.24994659260841701"/>
      </font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4" tint="-0.24994659260841701"/>
      </font>
    </dxf>
    <dxf>
      <font>
        <b/>
        <i val="0"/>
        <color theme="4" tint="-0.24994659260841701"/>
      </font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90">
          <stop position="0">
            <color theme="0"/>
          </stop>
          <stop position="0.5">
            <color theme="4" tint="-0.49803155613879818"/>
          </stop>
          <stop position="1">
            <color theme="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file:///W:\Team%20Spaces\RAD%20IT%20Engineering\NA%20RAD%20IT%20Engineering\RAD1\RAD1%20RMA%20Reporting\Tech%20Reports\Charles.xlsm" TargetMode="External"/><Relationship Id="rId1" Type="http://schemas.openxmlformats.org/officeDocument/2006/relationships/hyperlink" Target="#brief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TA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782740</xdr:colOff>
      <xdr:row>0</xdr:row>
      <xdr:rowOff>146009</xdr:rowOff>
    </xdr:from>
    <xdr:ext cx="1276901" cy="530658"/>
    <xdr:sp macro="[0]!ClearAndRepopulateReportOptimized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717505" y="146009"/>
          <a:ext cx="1276901" cy="530658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wrap="squar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n-US" sz="2800" b="1" cap="none" spc="0">
              <a:ln/>
              <a:solidFill>
                <a:schemeClr val="accent2">
                  <a:lumMod val="75000"/>
                </a:schemeClr>
              </a:solidFill>
              <a:effectLst/>
            </a:rPr>
            <a:t>report</a:t>
          </a:r>
        </a:p>
      </xdr:txBody>
    </xdr:sp>
    <xdr:clientData/>
  </xdr:oneCellAnchor>
  <xdr:oneCellAnchor>
    <xdr:from>
      <xdr:col>13</xdr:col>
      <xdr:colOff>181759</xdr:colOff>
      <xdr:row>0</xdr:row>
      <xdr:rowOff>242272</xdr:rowOff>
    </xdr:from>
    <xdr:ext cx="1276901" cy="405432"/>
    <xdr:sp macro="[0]!copyPercentDat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410553" y="242272"/>
          <a:ext cx="1276901" cy="405432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wrap="squar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n-US" sz="2000" b="1" cap="none" spc="0">
              <a:ln/>
              <a:solidFill>
                <a:schemeClr val="accent2">
                  <a:lumMod val="75000"/>
                </a:schemeClr>
              </a:solidFill>
              <a:effectLst/>
            </a:rPr>
            <a:t>%date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44040</xdr:colOff>
      <xdr:row>3</xdr:row>
      <xdr:rowOff>66675</xdr:rowOff>
    </xdr:from>
    <xdr:to>
      <xdr:col>10</xdr:col>
      <xdr:colOff>1188495</xdr:colOff>
      <xdr:row>6</xdr:row>
      <xdr:rowOff>43815</xdr:rowOff>
    </xdr:to>
    <xdr:sp macro="[0]!clear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559015" y="647700"/>
          <a:ext cx="1839780" cy="54864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latin typeface="Amazon Ember" panose="020B0603020204020204" pitchFamily="34" charset="0"/>
              <a:ea typeface="Amazon Ember" panose="020B0603020204020204" pitchFamily="34" charset="0"/>
              <a:cs typeface="Amazon Ember" panose="020B0603020204020204" pitchFamily="34" charset="0"/>
            </a:rPr>
            <a:t>clear</a:t>
          </a:r>
          <a:endParaRPr lang="en-US" sz="1100">
            <a:latin typeface="Amazon Ember" panose="020B0603020204020204" pitchFamily="34" charset="0"/>
            <a:ea typeface="Amazon Ember" panose="020B0603020204020204" pitchFamily="34" charset="0"/>
            <a:cs typeface="Amazon Ember" panose="020B0603020204020204" pitchFamily="34" charset="0"/>
          </a:endParaRPr>
        </a:p>
      </xdr:txBody>
    </xdr:sp>
    <xdr:clientData/>
  </xdr:twoCellAnchor>
  <xdr:twoCellAnchor>
    <xdr:from>
      <xdr:col>9</xdr:col>
      <xdr:colOff>44040</xdr:colOff>
      <xdr:row>6</xdr:row>
      <xdr:rowOff>128587</xdr:rowOff>
    </xdr:from>
    <xdr:to>
      <xdr:col>10</xdr:col>
      <xdr:colOff>1188495</xdr:colOff>
      <xdr:row>9</xdr:row>
      <xdr:rowOff>96202</xdr:rowOff>
    </xdr:to>
    <xdr:sp macro="[0]!CleanseAndImport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559015" y="1281112"/>
          <a:ext cx="1839780" cy="54864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latin typeface="Amazon Ember" panose="020B0603020204020204" pitchFamily="34" charset="0"/>
              <a:ea typeface="Amazon Ember" panose="020B0603020204020204" pitchFamily="34" charset="0"/>
              <a:cs typeface="Amazon Ember" panose="020B0603020204020204" pitchFamily="34" charset="0"/>
            </a:rPr>
            <a:t>paste</a:t>
          </a:r>
          <a:endParaRPr lang="en-US" sz="1100">
            <a:latin typeface="Amazon Ember" panose="020B0603020204020204" pitchFamily="34" charset="0"/>
            <a:ea typeface="Amazon Ember" panose="020B0603020204020204" pitchFamily="34" charset="0"/>
            <a:cs typeface="Amazon Ember" panose="020B0603020204020204" pitchFamily="34" charset="0"/>
          </a:endParaRPr>
        </a:p>
      </xdr:txBody>
    </xdr:sp>
    <xdr:clientData/>
  </xdr:twoCellAnchor>
  <xdr:twoCellAnchor>
    <xdr:from>
      <xdr:col>9</xdr:col>
      <xdr:colOff>44040</xdr:colOff>
      <xdr:row>9</xdr:row>
      <xdr:rowOff>180975</xdr:rowOff>
    </xdr:from>
    <xdr:to>
      <xdr:col>10</xdr:col>
      <xdr:colOff>1188495</xdr:colOff>
      <xdr:row>12</xdr:row>
      <xdr:rowOff>158115</xdr:rowOff>
    </xdr:to>
    <xdr:sp macro="" textlink="">
      <xdr:nvSpPr>
        <xdr:cNvPr id="5" name="Rectangle: Rounded Corner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559015" y="1914525"/>
          <a:ext cx="1839780" cy="54864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latin typeface="Amazon Ember" panose="020B0603020204020204" pitchFamily="34" charset="0"/>
              <a:ea typeface="Amazon Ember" panose="020B0603020204020204" pitchFamily="34" charset="0"/>
              <a:cs typeface="Amazon Ember" panose="020B0603020204020204" pitchFamily="34" charset="0"/>
            </a:rPr>
            <a:t>BRIEF</a:t>
          </a:r>
        </a:p>
      </xdr:txBody>
    </xdr:sp>
    <xdr:clientData/>
  </xdr:twoCellAnchor>
  <xdr:twoCellAnchor>
    <xdr:from>
      <xdr:col>9</xdr:col>
      <xdr:colOff>44040</xdr:colOff>
      <xdr:row>13</xdr:row>
      <xdr:rowOff>66675</xdr:rowOff>
    </xdr:from>
    <xdr:to>
      <xdr:col>10</xdr:col>
      <xdr:colOff>1188495</xdr:colOff>
      <xdr:row>16</xdr:row>
      <xdr:rowOff>43815</xdr:rowOff>
    </xdr:to>
    <xdr:sp macro="[0]!PrintReportToPDFWithDynamicFilenam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559015" y="2562225"/>
          <a:ext cx="1839780" cy="54864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latin typeface="Amazon Ember" panose="020B0603020204020204" pitchFamily="34" charset="0"/>
              <a:ea typeface="Amazon Ember" panose="020B0603020204020204" pitchFamily="34" charset="0"/>
              <a:cs typeface="Amazon Ember" panose="020B0603020204020204" pitchFamily="34" charset="0"/>
            </a:rPr>
            <a:t>PDF</a:t>
          </a:r>
        </a:p>
      </xdr:txBody>
    </xdr:sp>
    <xdr:clientData/>
  </xdr:twoCellAnchor>
  <xdr:twoCellAnchor>
    <xdr:from>
      <xdr:col>9</xdr:col>
      <xdr:colOff>152400</xdr:colOff>
      <xdr:row>17</xdr:row>
      <xdr:rowOff>95250</xdr:rowOff>
    </xdr:from>
    <xdr:to>
      <xdr:col>10</xdr:col>
      <xdr:colOff>1126750</xdr:colOff>
      <xdr:row>22</xdr:row>
      <xdr:rowOff>151841</xdr:rowOff>
    </xdr:to>
    <xdr:sp macro="[0]!closeNOSAVE" textlink="">
      <xdr:nvSpPr>
        <xdr:cNvPr id="7" name="Hexagon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667375" y="3352800"/>
          <a:ext cx="1669675" cy="1009091"/>
        </a:xfrm>
        <a:prstGeom prst="hexagon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accent4">
                  <a:lumMod val="20000"/>
                  <a:lumOff val="80000"/>
                </a:schemeClr>
              </a:solidFill>
              <a:latin typeface="Amazon Ember" panose="020B0603020204020204" pitchFamily="34" charset="0"/>
              <a:ea typeface="Amazon Ember" panose="020B0603020204020204" pitchFamily="34" charset="0"/>
              <a:cs typeface="Amazon Ember" panose="020B0603020204020204" pitchFamily="34" charset="0"/>
            </a:rPr>
            <a:t>CLOSE</a:t>
          </a:r>
          <a:endParaRPr lang="en-US" sz="1100">
            <a:solidFill>
              <a:schemeClr val="accent4">
                <a:lumMod val="20000"/>
                <a:lumOff val="80000"/>
              </a:schemeClr>
            </a:solidFill>
            <a:latin typeface="Amazon Ember" panose="020B0603020204020204" pitchFamily="34" charset="0"/>
            <a:ea typeface="Amazon Ember" panose="020B0603020204020204" pitchFamily="34" charset="0"/>
            <a:cs typeface="Amazon Ember" panose="020B0603020204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1257300</xdr:colOff>
          <xdr:row>1</xdr:row>
          <xdr:rowOff>7620</xdr:rowOff>
        </xdr:from>
        <xdr:to>
          <xdr:col>19</xdr:col>
          <xdr:colOff>579120</xdr:colOff>
          <xdr:row>2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mazon Ember"/>
                  <a:ea typeface="Amazon Ember"/>
                  <a:cs typeface="Amazon Ember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1396590</xdr:colOff>
      <xdr:row>13</xdr:row>
      <xdr:rowOff>66675</xdr:rowOff>
    </xdr:from>
    <xdr:to>
      <xdr:col>11</xdr:col>
      <xdr:colOff>245520</xdr:colOff>
      <xdr:row>16</xdr:row>
      <xdr:rowOff>43815</xdr:rowOff>
    </xdr:to>
    <xdr:sp macro="[0]!Transfer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B757DE6-8DD9-4BB3-ADB9-79E96E55E632}"/>
            </a:ext>
          </a:extLst>
        </xdr:cNvPr>
        <xdr:cNvSpPr/>
      </xdr:nvSpPr>
      <xdr:spPr>
        <a:xfrm>
          <a:off x="11635965" y="2543175"/>
          <a:ext cx="1839780" cy="54864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latin typeface="Amazon Ember" panose="020B0603020204020204" pitchFamily="34" charset="0"/>
              <a:ea typeface="Amazon Ember" panose="020B0603020204020204" pitchFamily="34" charset="0"/>
              <a:cs typeface="Amazon Ember" panose="020B0603020204020204" pitchFamily="34" charset="0"/>
            </a:rPr>
            <a:t>SYNC</a:t>
          </a:r>
        </a:p>
      </xdr:txBody>
    </xdr:sp>
    <xdr:clientData/>
  </xdr:twoCellAnchor>
  <xdr:twoCellAnchor>
    <xdr:from>
      <xdr:col>15</xdr:col>
      <xdr:colOff>219075</xdr:colOff>
      <xdr:row>1</xdr:row>
      <xdr:rowOff>0</xdr:rowOff>
    </xdr:from>
    <xdr:to>
      <xdr:col>17</xdr:col>
      <xdr:colOff>287205</xdr:colOff>
      <xdr:row>5</xdr:row>
      <xdr:rowOff>114300</xdr:rowOff>
    </xdr:to>
    <xdr:sp macro="" textlink="">
      <xdr:nvSpPr>
        <xdr:cNvPr id="8" name="Rectangle: Rounded Corner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7A50835-C609-4D37-8418-92A645DDA4F5}"/>
            </a:ext>
          </a:extLst>
        </xdr:cNvPr>
        <xdr:cNvSpPr/>
      </xdr:nvSpPr>
      <xdr:spPr>
        <a:xfrm>
          <a:off x="19954875" y="190500"/>
          <a:ext cx="1839780" cy="8763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latin typeface="Amazon Ember" panose="020B0603020204020204" pitchFamily="34" charset="0"/>
              <a:ea typeface="Amazon Ember" panose="020B0603020204020204" pitchFamily="34" charset="0"/>
              <a:cs typeface="Amazon Ember" panose="020B0603020204020204" pitchFamily="34" charset="0"/>
            </a:rPr>
            <a:t>open tech report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47625</xdr:colOff>
      <xdr:row>1</xdr:row>
      <xdr:rowOff>123825</xdr:rowOff>
    </xdr:from>
    <xdr:to>
      <xdr:col>16</xdr:col>
      <xdr:colOff>421900</xdr:colOff>
      <xdr:row>4</xdr:row>
      <xdr:rowOff>94691</xdr:rowOff>
    </xdr:to>
    <xdr:sp macro="[0]!closeNOSAVE" textlink="">
      <xdr:nvSpPr>
        <xdr:cNvPr id="2" name="Hexago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7287875" y="314325"/>
          <a:ext cx="1669675" cy="694766"/>
        </a:xfrm>
        <a:prstGeom prst="hexagon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accent4">
                  <a:lumMod val="20000"/>
                  <a:lumOff val="80000"/>
                </a:schemeClr>
              </a:solidFill>
              <a:latin typeface="Amazon Ember" panose="020B0603020204020204" pitchFamily="34" charset="0"/>
              <a:ea typeface="Amazon Ember" panose="020B0603020204020204" pitchFamily="34" charset="0"/>
              <a:cs typeface="Amazon Ember" panose="020B0603020204020204" pitchFamily="34" charset="0"/>
            </a:rPr>
            <a:t>CLOSE</a:t>
          </a:r>
          <a:endParaRPr lang="en-US" sz="1100">
            <a:solidFill>
              <a:schemeClr val="accent4">
                <a:lumMod val="20000"/>
                <a:lumOff val="80000"/>
              </a:schemeClr>
            </a:solidFill>
            <a:latin typeface="Amazon Ember" panose="020B0603020204020204" pitchFamily="34" charset="0"/>
            <a:ea typeface="Amazon Ember" panose="020B0603020204020204" pitchFamily="34" charset="0"/>
            <a:cs typeface="Amazon Ember" panose="020B0603020204020204" pitchFamily="34" charset="0"/>
          </a:endParaRPr>
        </a:p>
      </xdr:txBody>
    </xdr:sp>
    <xdr:clientData/>
  </xdr:twoCellAnchor>
  <xdr:twoCellAnchor>
    <xdr:from>
      <xdr:col>14</xdr:col>
      <xdr:colOff>38100</xdr:colOff>
      <xdr:row>5</xdr:row>
      <xdr:rowOff>85725</xdr:rowOff>
    </xdr:from>
    <xdr:to>
      <xdr:col>16</xdr:col>
      <xdr:colOff>371475</xdr:colOff>
      <xdr:row>8</xdr:row>
      <xdr:rowOff>133350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278350" y="1362075"/>
          <a:ext cx="1628775" cy="657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latin typeface="Amazon Ember" panose="020B0603020204020204" pitchFamily="34" charset="0"/>
              <a:ea typeface="Amazon Ember" panose="020B0603020204020204" pitchFamily="34" charset="0"/>
              <a:cs typeface="Amazon Ember" panose="020B0603020204020204" pitchFamily="34" charset="0"/>
            </a:rPr>
            <a:t>DATA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1</v>
  </rv>
  <rv s="1">
    <v>13</v>
    <v>3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FE46B-CD52-4605-BC7C-DBF09613D8F8}">
  <sheetPr codeName="Sheet1">
    <pageSetUpPr fitToPage="1"/>
  </sheetPr>
  <dimension ref="A1:AN88"/>
  <sheetViews>
    <sheetView topLeftCell="A13" workbookViewId="0">
      <selection activeCell="C36" sqref="C36"/>
    </sheetView>
  </sheetViews>
  <sheetFormatPr defaultColWidth="8.88671875" defaultRowHeight="16.2" x14ac:dyDescent="0.3"/>
  <cols>
    <col min="1" max="1" width="27" style="119" bestFit="1" customWidth="1"/>
    <col min="2" max="2" width="22.109375" style="4" bestFit="1" customWidth="1"/>
    <col min="3" max="3" width="13.44140625" style="4" bestFit="1" customWidth="1"/>
    <col min="4" max="4" width="21" style="4" customWidth="1"/>
    <col min="5" max="5" width="15.88671875" style="4" customWidth="1"/>
    <col min="6" max="6" width="28.109375" style="26" bestFit="1" customWidth="1"/>
    <col min="7" max="7" width="18.88671875" style="26" bestFit="1" customWidth="1"/>
    <col min="8" max="8" width="11.109375" style="26" bestFit="1" customWidth="1"/>
    <col min="9" max="9" width="17.33203125" style="5" customWidth="1"/>
    <col min="10" max="10" width="17.44140625" style="5" bestFit="1" customWidth="1"/>
    <col min="11" max="11" width="17" style="5" customWidth="1"/>
    <col min="12" max="12" width="27.88671875" style="5" customWidth="1"/>
    <col min="13" max="13" width="17.5546875" style="5" customWidth="1"/>
    <col min="14" max="14" width="19.44140625" style="47" bestFit="1" customWidth="1"/>
    <col min="15" max="15" width="39.5546875" style="4" customWidth="1"/>
    <col min="16" max="16" width="20.33203125" style="4" bestFit="1" customWidth="1"/>
    <col min="17" max="17" width="10.88671875" style="4" customWidth="1"/>
    <col min="18" max="18" width="14.109375" style="4" bestFit="1" customWidth="1"/>
    <col min="19" max="19" width="14.33203125" style="4" bestFit="1" customWidth="1"/>
    <col min="20" max="20" width="24.6640625" style="4" customWidth="1"/>
    <col min="21" max="21" width="17" style="4" customWidth="1"/>
    <col min="22" max="22" width="8.88671875" style="4"/>
    <col min="23" max="23" width="14.5546875" style="4" bestFit="1" customWidth="1"/>
    <col min="24" max="24" width="24.5546875" style="4" bestFit="1" customWidth="1"/>
    <col min="25" max="25" width="8.88671875" style="4"/>
    <col min="26" max="26" width="28.33203125" style="4" bestFit="1" customWidth="1"/>
    <col min="27" max="27" width="31.109375" style="4" bestFit="1" customWidth="1"/>
    <col min="28" max="28" width="5.44140625" style="4" customWidth="1"/>
    <col min="29" max="29" width="23" style="4" customWidth="1"/>
    <col min="30" max="30" width="5.44140625" style="4" customWidth="1"/>
    <col min="31" max="31" width="23" style="4" customWidth="1"/>
    <col min="32" max="32" width="9" style="4" bestFit="1" customWidth="1"/>
    <col min="33" max="33" width="23" style="4" customWidth="1"/>
    <col min="34" max="34" width="5.44140625" style="4" customWidth="1"/>
    <col min="35" max="35" width="23" style="4" customWidth="1"/>
    <col min="36" max="36" width="5.44140625" style="4" customWidth="1"/>
    <col min="37" max="37" width="23" style="4" customWidth="1"/>
    <col min="38" max="38" width="5.44140625" style="4" customWidth="1"/>
    <col min="39" max="39" width="23" style="4" customWidth="1"/>
    <col min="40" max="40" width="5.44140625" style="4" customWidth="1"/>
    <col min="41" max="16384" width="8.88671875" style="4"/>
  </cols>
  <sheetData>
    <row r="1" spans="1:23" ht="30" thickTop="1" thickBot="1" x14ac:dyDescent="0.35">
      <c r="A1" s="56" t="str">
        <f>A23</f>
        <v/>
      </c>
      <c r="B1" s="34"/>
      <c r="C1" s="133" t="s">
        <v>16</v>
      </c>
      <c r="D1" s="34"/>
      <c r="E1" s="34"/>
      <c r="F1" s="34" t="str">
        <f>DATA!K1</f>
        <v>chrlsim</v>
      </c>
      <c r="G1" s="34"/>
      <c r="H1" s="34"/>
      <c r="I1" s="34"/>
      <c r="J1" s="35"/>
      <c r="K1" s="59" t="s">
        <v>14</v>
      </c>
      <c r="L1" s="51" t="str">
        <f>B28</f>
        <v/>
      </c>
      <c r="M1" s="62"/>
      <c r="N1" s="5"/>
      <c r="O1" s="47"/>
    </row>
    <row r="2" spans="1:23" ht="29.4" customHeight="1" thickBot="1" x14ac:dyDescent="0.35">
      <c r="A2" s="57"/>
      <c r="B2" s="32" t="s">
        <v>0</v>
      </c>
      <c r="C2" s="6"/>
      <c r="D2" s="6" t="s">
        <v>1</v>
      </c>
      <c r="E2" s="6" t="s">
        <v>2</v>
      </c>
      <c r="F2" s="13" t="s">
        <v>49</v>
      </c>
      <c r="G2" s="13"/>
      <c r="H2" s="13"/>
      <c r="I2" s="13" t="s">
        <v>8</v>
      </c>
      <c r="J2" s="13" t="s">
        <v>12</v>
      </c>
      <c r="K2" s="13" t="s">
        <v>9</v>
      </c>
      <c r="L2" s="13" t="s">
        <v>11</v>
      </c>
      <c r="M2" s="63" t="s">
        <v>26</v>
      </c>
      <c r="N2" s="5"/>
      <c r="O2" s="47"/>
      <c r="Q2" s="63" t="s">
        <v>37</v>
      </c>
      <c r="R2" s="63" t="s">
        <v>38</v>
      </c>
      <c r="S2" s="13" t="s">
        <v>39</v>
      </c>
      <c r="T2" s="4" t="s">
        <v>114</v>
      </c>
    </row>
    <row r="3" spans="1:23" x14ac:dyDescent="0.3">
      <c r="A3" s="57"/>
      <c r="B3" s="33" t="s">
        <v>0</v>
      </c>
      <c r="C3" s="7"/>
      <c r="D3" s="7"/>
      <c r="E3" s="7"/>
      <c r="F3" s="14"/>
      <c r="G3" s="14"/>
      <c r="H3" s="14"/>
      <c r="I3" s="33"/>
      <c r="J3" s="30"/>
      <c r="L3" s="48"/>
      <c r="M3" s="64">
        <f t="shared" ref="M3:M15" si="0">IFERROR(J3/$J$23*$N$15,0)</f>
        <v>0</v>
      </c>
      <c r="N3" s="70" t="s">
        <v>19</v>
      </c>
      <c r="O3" s="61" t="e">
        <f>P3/$P$8</f>
        <v>#DIV/0!</v>
      </c>
      <c r="P3" s="12">
        <f>SUM(pdcount!W26:Y26)</f>
        <v>0</v>
      </c>
      <c r="Q3" s="64"/>
      <c r="R3" s="64"/>
      <c r="S3" s="48" t="e">
        <f>U3</f>
        <v>#DIV/0!</v>
      </c>
      <c r="T3" s="144" t="e">
        <f>SUM(T4:T14)</f>
        <v>#DIV/0!</v>
      </c>
      <c r="U3" s="144" t="e">
        <f>SUM(U4:U14)</f>
        <v>#DIV/0!</v>
      </c>
      <c r="W3" s="144" t="e">
        <f>S3*O3</f>
        <v>#DIV/0!</v>
      </c>
    </row>
    <row r="4" spans="1:23" x14ac:dyDescent="0.3">
      <c r="A4" s="57"/>
      <c r="B4" s="17" t="s">
        <v>86</v>
      </c>
      <c r="C4" s="8"/>
      <c r="D4" s="8">
        <f>pdcount!A65</f>
        <v>0</v>
      </c>
      <c r="E4" s="8">
        <f>SUM(pdcount!L3:L24)</f>
        <v>0</v>
      </c>
      <c r="F4" s="15">
        <f>pdcount!L65</f>
        <v>0</v>
      </c>
      <c r="G4" s="15"/>
      <c r="H4" s="15"/>
      <c r="I4" s="15">
        <v>10</v>
      </c>
      <c r="J4" s="25">
        <f>SUM(pdcount!A3:A24)</f>
        <v>0</v>
      </c>
      <c r="K4" s="10" t="str">
        <f>IFERROR(TEXT(D4/(HOUR(J4)+MINUTE(J4)/60+SECOND(J4)/3600),"00.00"),"")</f>
        <v/>
      </c>
      <c r="L4" s="48" t="str">
        <f t="shared" ref="L4:L10" si="1">IFERROR(K4/I4,"")</f>
        <v/>
      </c>
      <c r="M4" s="64">
        <f t="shared" si="0"/>
        <v>0</v>
      </c>
      <c r="N4" s="65" t="s">
        <v>21</v>
      </c>
      <c r="O4" s="60" t="e">
        <f>P4/$P$8</f>
        <v>#DIV/0!</v>
      </c>
      <c r="P4" s="12">
        <f>SUMIFS(A24:A24, C24:C24, "MEETING")</f>
        <v>0</v>
      </c>
      <c r="Q4" s="64">
        <f>(HOUR(J4) + MINUTE(J4)/60 + SECOND(J4)/3600)*I4</f>
        <v>0</v>
      </c>
      <c r="R4" s="64">
        <f t="shared" ref="R4:R13" si="2">D4</f>
        <v>0</v>
      </c>
      <c r="S4" s="48">
        <f t="shared" ref="S4:S15" si="3">IFERROR(R4/Q4,0)</f>
        <v>0</v>
      </c>
      <c r="T4" s="146" t="e">
        <f>IF(L4&gt;0, J4/$P$15,0)</f>
        <v>#DIV/0!</v>
      </c>
      <c r="U4" s="145" t="e">
        <f t="shared" ref="U4:U9" si="4">S4*T4</f>
        <v>#DIV/0!</v>
      </c>
    </row>
    <row r="5" spans="1:23" x14ac:dyDescent="0.3">
      <c r="A5" s="57"/>
      <c r="B5" s="17" t="s">
        <v>87</v>
      </c>
      <c r="C5" s="8"/>
      <c r="D5" s="8">
        <f>pdcount!B65</f>
        <v>0</v>
      </c>
      <c r="E5" s="8">
        <f>SUM(pdcount!M3:M24)</f>
        <v>0</v>
      </c>
      <c r="F5" s="15">
        <f>pdcount!M65</f>
        <v>0</v>
      </c>
      <c r="G5" s="15"/>
      <c r="H5" s="15"/>
      <c r="I5" s="15">
        <v>18</v>
      </c>
      <c r="J5" s="25">
        <f>SUM(pdcount!B3:B24)</f>
        <v>0</v>
      </c>
      <c r="K5" s="10" t="str">
        <f t="shared" ref="K5:K13" si="5">IFERROR(TEXT(D5/(HOUR(J5)+MINUTE(J5)/60+SECOND(J5)/3600),"00.00"),"")</f>
        <v/>
      </c>
      <c r="L5" s="48" t="str">
        <f t="shared" si="1"/>
        <v/>
      </c>
      <c r="M5" s="64">
        <f t="shared" si="0"/>
        <v>0</v>
      </c>
      <c r="N5" s="65" t="s">
        <v>20</v>
      </c>
      <c r="O5" s="60" t="e">
        <f>P5/$P$8</f>
        <v>#DIV/0!</v>
      </c>
      <c r="P5" s="12">
        <f>SUMIFS(A24:A24, C24:C24, "Project")</f>
        <v>0</v>
      </c>
      <c r="Q5" s="64">
        <f t="shared" ref="Q5:Q15" si="6">(HOUR(J5) + MINUTE(J5)/60 + SECOND(J5)/3600)*I5</f>
        <v>0</v>
      </c>
      <c r="R5" s="64">
        <f t="shared" si="2"/>
        <v>0</v>
      </c>
      <c r="S5" s="48">
        <f t="shared" si="3"/>
        <v>0</v>
      </c>
      <c r="T5" s="146" t="e">
        <f t="shared" ref="T5:T14" si="7">IF(L5&gt;0, J5/$P$15,0)</f>
        <v>#DIV/0!</v>
      </c>
      <c r="U5" s="145" t="e">
        <f t="shared" si="4"/>
        <v>#DIV/0!</v>
      </c>
    </row>
    <row r="6" spans="1:23" x14ac:dyDescent="0.3">
      <c r="A6" s="57"/>
      <c r="B6" s="17" t="s">
        <v>88</v>
      </c>
      <c r="C6" s="8"/>
      <c r="D6" s="8">
        <f>pdcount!C65</f>
        <v>0</v>
      </c>
      <c r="E6" s="8">
        <f>SUM(pdcount!N3:N24)</f>
        <v>0</v>
      </c>
      <c r="F6" s="15">
        <f>pdcount!N65</f>
        <v>0</v>
      </c>
      <c r="G6" s="15"/>
      <c r="H6" s="15"/>
      <c r="I6" s="15">
        <v>1</v>
      </c>
      <c r="J6" s="25">
        <f>SUM(pdcount!C3:C24)</f>
        <v>0</v>
      </c>
      <c r="K6" s="10" t="str">
        <f t="shared" si="5"/>
        <v/>
      </c>
      <c r="L6" s="48" t="str">
        <f t="shared" si="1"/>
        <v/>
      </c>
      <c r="M6" s="64">
        <f t="shared" si="0"/>
        <v>0</v>
      </c>
      <c r="N6" s="71" t="s">
        <v>22</v>
      </c>
      <c r="O6" s="60" t="e" vm="1">
        <f>P6/$P$8</f>
        <v>#VALUE!</v>
      </c>
      <c r="P6" s="12" t="e" vm="1">
        <f>SUM(P29:P43)</f>
        <v>#VALUE!</v>
      </c>
      <c r="Q6" s="64">
        <f t="shared" si="6"/>
        <v>0</v>
      </c>
      <c r="R6" s="64">
        <f t="shared" si="2"/>
        <v>0</v>
      </c>
      <c r="S6" s="48">
        <f t="shared" si="3"/>
        <v>0</v>
      </c>
      <c r="T6" s="146" t="e">
        <f t="shared" si="7"/>
        <v>#DIV/0!</v>
      </c>
      <c r="U6" s="145" t="e">
        <f t="shared" si="4"/>
        <v>#DIV/0!</v>
      </c>
    </row>
    <row r="7" spans="1:23" x14ac:dyDescent="0.3">
      <c r="A7" s="57"/>
      <c r="B7" s="17" t="s">
        <v>89</v>
      </c>
      <c r="C7" s="8"/>
      <c r="D7" s="8">
        <f>pdcount!D65</f>
        <v>0</v>
      </c>
      <c r="E7" s="8">
        <f>SUM(pdcount!O3:O24)</f>
        <v>0</v>
      </c>
      <c r="F7" s="15">
        <f>pdcount!O65</f>
        <v>0</v>
      </c>
      <c r="G7" s="15"/>
      <c r="H7" s="15"/>
      <c r="I7" s="15">
        <v>11</v>
      </c>
      <c r="J7" s="25">
        <f>SUM(pdcount!D3:D24)</f>
        <v>0</v>
      </c>
      <c r="K7" s="10" t="str">
        <f t="shared" si="5"/>
        <v/>
      </c>
      <c r="L7" s="48" t="str">
        <f t="shared" si="1"/>
        <v/>
      </c>
      <c r="M7" s="64">
        <f t="shared" si="0"/>
        <v>0</v>
      </c>
      <c r="N7" s="65" t="s">
        <v>24</v>
      </c>
      <c r="O7" s="60" t="e">
        <f>P7/$P$8</f>
        <v>#DIV/0!</v>
      </c>
      <c r="P7" s="12">
        <v>2.0833333333333332E-2</v>
      </c>
      <c r="Q7" s="64">
        <f t="shared" si="6"/>
        <v>0</v>
      </c>
      <c r="R7" s="64">
        <f t="shared" si="2"/>
        <v>0</v>
      </c>
      <c r="S7" s="48">
        <f t="shared" si="3"/>
        <v>0</v>
      </c>
      <c r="T7" s="146" t="e">
        <f t="shared" si="7"/>
        <v>#DIV/0!</v>
      </c>
      <c r="U7" s="145" t="e">
        <f t="shared" si="4"/>
        <v>#DIV/0!</v>
      </c>
    </row>
    <row r="8" spans="1:23" x14ac:dyDescent="0.3">
      <c r="A8" s="57"/>
      <c r="B8" s="17" t="s">
        <v>90</v>
      </c>
      <c r="C8" s="8"/>
      <c r="D8" s="8">
        <f>pdcount!E65</f>
        <v>0</v>
      </c>
      <c r="E8" s="8">
        <f>SUM(pdcount!P3:P24)</f>
        <v>0</v>
      </c>
      <c r="F8" s="15">
        <f>pdcount!P65</f>
        <v>0</v>
      </c>
      <c r="G8" s="15"/>
      <c r="H8" s="15"/>
      <c r="I8" s="15">
        <v>8</v>
      </c>
      <c r="J8" s="25">
        <f>SUM(pdcount!E3:E24)</f>
        <v>0</v>
      </c>
      <c r="K8" s="10" t="str">
        <f t="shared" si="5"/>
        <v/>
      </c>
      <c r="L8" s="48" t="str">
        <f t="shared" si="1"/>
        <v/>
      </c>
      <c r="M8" s="64">
        <f t="shared" si="0"/>
        <v>0</v>
      </c>
      <c r="N8" s="65" t="s">
        <v>23</v>
      </c>
      <c r="O8" s="60"/>
      <c r="P8" s="12">
        <f>C23-L30</f>
        <v>0</v>
      </c>
      <c r="Q8" s="64">
        <f t="shared" si="6"/>
        <v>0</v>
      </c>
      <c r="R8" s="64">
        <f t="shared" si="2"/>
        <v>0</v>
      </c>
      <c r="S8" s="48">
        <f t="shared" si="3"/>
        <v>0</v>
      </c>
      <c r="T8" s="146" t="e">
        <f t="shared" si="7"/>
        <v>#DIV/0!</v>
      </c>
      <c r="U8" s="145" t="e">
        <f t="shared" si="4"/>
        <v>#DIV/0!</v>
      </c>
    </row>
    <row r="9" spans="1:23" x14ac:dyDescent="0.3">
      <c r="A9" s="57"/>
      <c r="B9" s="17" t="s">
        <v>91</v>
      </c>
      <c r="C9" s="8"/>
      <c r="D9" s="8">
        <f>pdcount!F65</f>
        <v>0</v>
      </c>
      <c r="E9" s="8">
        <f>SUM(pdcount!Q3:Q24)</f>
        <v>0</v>
      </c>
      <c r="F9" s="15">
        <f>pdcount!Q65</f>
        <v>0</v>
      </c>
      <c r="G9" s="15"/>
      <c r="H9" s="15"/>
      <c r="I9" s="15">
        <v>8</v>
      </c>
      <c r="J9" s="25">
        <f>SUM(pdcount!F3:F24)</f>
        <v>0</v>
      </c>
      <c r="K9" s="10" t="str">
        <f t="shared" si="5"/>
        <v/>
      </c>
      <c r="L9" s="48" t="str">
        <f t="shared" si="1"/>
        <v/>
      </c>
      <c r="M9" s="64">
        <f t="shared" si="0"/>
        <v>0</v>
      </c>
      <c r="N9" s="69" t="s">
        <v>27</v>
      </c>
      <c r="O9" s="12">
        <v>6.25E-2</v>
      </c>
      <c r="P9" s="12">
        <f>+P8-O9</f>
        <v>-6.25E-2</v>
      </c>
      <c r="Q9" s="64">
        <f t="shared" si="6"/>
        <v>0</v>
      </c>
      <c r="R9" s="64">
        <f t="shared" si="2"/>
        <v>0</v>
      </c>
      <c r="S9" s="48">
        <f t="shared" si="3"/>
        <v>0</v>
      </c>
      <c r="T9" s="146" t="e">
        <f t="shared" si="7"/>
        <v>#DIV/0!</v>
      </c>
      <c r="U9" s="145" t="e">
        <f t="shared" si="4"/>
        <v>#DIV/0!</v>
      </c>
    </row>
    <row r="10" spans="1:23" ht="16.8" thickBot="1" x14ac:dyDescent="0.35">
      <c r="A10" s="57"/>
      <c r="B10" s="17" t="s">
        <v>85</v>
      </c>
      <c r="C10" s="8"/>
      <c r="D10" s="8">
        <f>pdcount!G65</f>
        <v>0</v>
      </c>
      <c r="E10" s="8">
        <f>SUM(pdcount!R3:R24)</f>
        <v>0</v>
      </c>
      <c r="F10" s="15">
        <f>pdcount!R65</f>
        <v>0</v>
      </c>
      <c r="G10" s="15"/>
      <c r="H10" s="15"/>
      <c r="I10" s="15">
        <v>1</v>
      </c>
      <c r="J10" s="25">
        <f>SUM(pdcount!G3:G24)</f>
        <v>0</v>
      </c>
      <c r="K10" s="10" t="str">
        <f t="shared" si="5"/>
        <v/>
      </c>
      <c r="L10" s="48" t="str">
        <f t="shared" si="1"/>
        <v/>
      </c>
      <c r="M10" s="64">
        <f t="shared" si="0"/>
        <v>0</v>
      </c>
      <c r="O10" s="10">
        <v>1</v>
      </c>
      <c r="P10" s="12">
        <v>0.33333333333333331</v>
      </c>
      <c r="Q10" s="64">
        <f t="shared" si="6"/>
        <v>0</v>
      </c>
      <c r="R10" s="64">
        <f t="shared" si="2"/>
        <v>0</v>
      </c>
      <c r="S10" s="48">
        <f t="shared" si="3"/>
        <v>0</v>
      </c>
      <c r="T10" s="146" t="e">
        <f t="shared" si="7"/>
        <v>#DIV/0!</v>
      </c>
      <c r="U10" s="145" t="e">
        <f>S10*T10</f>
        <v>#DIV/0!</v>
      </c>
    </row>
    <row r="11" spans="1:23" ht="17.399999999999999" thickTop="1" thickBot="1" x14ac:dyDescent="0.35">
      <c r="A11" s="57"/>
      <c r="B11" s="17" t="s">
        <v>13</v>
      </c>
      <c r="C11" s="8"/>
      <c r="D11" s="8">
        <f>pdcount!H65</f>
        <v>0</v>
      </c>
      <c r="E11" s="8">
        <f>SUM(pdcount!S3:S24)</f>
        <v>0</v>
      </c>
      <c r="F11" s="15">
        <f>pdcount!S65</f>
        <v>0</v>
      </c>
      <c r="G11" s="15"/>
      <c r="H11" s="15"/>
      <c r="I11" s="15">
        <v>10</v>
      </c>
      <c r="J11" s="25">
        <f>SUM(pdcount!H3:H24)</f>
        <v>0</v>
      </c>
      <c r="K11" s="10" t="str">
        <f t="shared" si="5"/>
        <v/>
      </c>
      <c r="L11" s="48" t="str">
        <f t="shared" ref="L11:L14" si="8">IFERROR(K11/I11,"")</f>
        <v/>
      </c>
      <c r="M11" s="64">
        <f t="shared" si="0"/>
        <v>0</v>
      </c>
      <c r="N11" s="67" t="s">
        <v>25</v>
      </c>
      <c r="O11" s="67" t="s">
        <v>54</v>
      </c>
      <c r="P11" s="67"/>
      <c r="Q11" s="64">
        <f t="shared" si="6"/>
        <v>0</v>
      </c>
      <c r="R11" s="64">
        <f t="shared" si="2"/>
        <v>0</v>
      </c>
      <c r="S11" s="48">
        <f t="shared" si="3"/>
        <v>0</v>
      </c>
      <c r="T11" s="146" t="e">
        <f t="shared" si="7"/>
        <v>#DIV/0!</v>
      </c>
      <c r="U11" s="145" t="e">
        <f t="shared" ref="U11:U14" si="9">S11*T11</f>
        <v>#DIV/0!</v>
      </c>
    </row>
    <row r="12" spans="1:23" ht="17.399999999999999" thickTop="1" thickBot="1" x14ac:dyDescent="0.35">
      <c r="A12" s="57"/>
      <c r="B12" s="17" t="s">
        <v>92</v>
      </c>
      <c r="C12" s="37"/>
      <c r="D12" s="8">
        <f>pdcount!I65</f>
        <v>0</v>
      </c>
      <c r="E12" s="37">
        <f>SUM(pdcount!T3:T24)</f>
        <v>0</v>
      </c>
      <c r="F12" s="38">
        <f>pdcount!T65</f>
        <v>0</v>
      </c>
      <c r="G12" s="38"/>
      <c r="H12" s="38"/>
      <c r="I12" s="38">
        <v>1</v>
      </c>
      <c r="J12" s="39">
        <f>SUM(pdcount!I3:I24)</f>
        <v>0</v>
      </c>
      <c r="K12" s="10" t="str">
        <f t="shared" si="5"/>
        <v/>
      </c>
      <c r="L12" s="48" t="str">
        <f t="shared" si="8"/>
        <v/>
      </c>
      <c r="M12" s="64">
        <f t="shared" si="0"/>
        <v>0</v>
      </c>
      <c r="N12" s="66">
        <f>J23</f>
        <v>0</v>
      </c>
      <c r="O12" s="60" t="e">
        <f>N15</f>
        <v>#DIV/0!</v>
      </c>
      <c r="P12" s="79"/>
      <c r="Q12" s="64">
        <f t="shared" si="6"/>
        <v>0</v>
      </c>
      <c r="R12" s="64">
        <f t="shared" si="2"/>
        <v>0</v>
      </c>
      <c r="S12" s="48">
        <f t="shared" si="3"/>
        <v>0</v>
      </c>
      <c r="T12" s="146" t="e">
        <f t="shared" si="7"/>
        <v>#DIV/0!</v>
      </c>
      <c r="U12" s="145" t="e">
        <f t="shared" si="9"/>
        <v>#DIV/0!</v>
      </c>
    </row>
    <row r="13" spans="1:23" ht="17.399999999999999" thickTop="1" thickBot="1" x14ac:dyDescent="0.35">
      <c r="A13" s="57"/>
      <c r="B13" s="17" t="s">
        <v>83</v>
      </c>
      <c r="C13" s="37"/>
      <c r="D13" s="8">
        <f>pdcount!J65</f>
        <v>0</v>
      </c>
      <c r="E13" s="37">
        <f>SUM(pdcount!U3:U24)</f>
        <v>0</v>
      </c>
      <c r="F13" s="38">
        <f>pdcount!U65</f>
        <v>0</v>
      </c>
      <c r="G13" s="38"/>
      <c r="H13" s="38"/>
      <c r="I13" s="38">
        <v>15</v>
      </c>
      <c r="J13" s="39">
        <f>SUM(pdcount!J3:J24)</f>
        <v>0</v>
      </c>
      <c r="K13" s="10" t="str">
        <f t="shared" si="5"/>
        <v/>
      </c>
      <c r="L13" s="48" t="str">
        <f t="shared" si="8"/>
        <v/>
      </c>
      <c r="M13" s="64">
        <f t="shared" si="0"/>
        <v>0</v>
      </c>
      <c r="N13" s="66" t="s">
        <v>31</v>
      </c>
      <c r="O13" s="60" t="s">
        <v>32</v>
      </c>
      <c r="P13" s="79">
        <f>H23</f>
        <v>0</v>
      </c>
      <c r="Q13" s="64">
        <f t="shared" si="6"/>
        <v>0</v>
      </c>
      <c r="R13" s="64">
        <f t="shared" si="2"/>
        <v>0</v>
      </c>
      <c r="S13" s="48">
        <f t="shared" si="3"/>
        <v>0</v>
      </c>
      <c r="T13" s="146" t="e">
        <f t="shared" si="7"/>
        <v>#DIV/0!</v>
      </c>
      <c r="U13" s="145" t="e">
        <f t="shared" si="9"/>
        <v>#DIV/0!</v>
      </c>
    </row>
    <row r="14" spans="1:23" ht="17.399999999999999" thickTop="1" thickBot="1" x14ac:dyDescent="0.35">
      <c r="A14" s="57"/>
      <c r="B14" s="44" t="s">
        <v>10</v>
      </c>
      <c r="C14" s="40"/>
      <c r="D14" s="40"/>
      <c r="E14" s="139" t="s">
        <v>113</v>
      </c>
      <c r="F14" s="41">
        <f>SUM(F4:F13)</f>
        <v>0</v>
      </c>
      <c r="G14" s="41"/>
      <c r="H14" s="41"/>
      <c r="I14" s="41">
        <v>35</v>
      </c>
      <c r="J14" s="42">
        <f>pdcount!W26</f>
        <v>0</v>
      </c>
      <c r="K14" s="43" t="str">
        <f>IFERROR(TEXT(F14/(HOUR(J14)+MINUTE(J14)/60+SECOND(J14)/3600),"00.00"),"")</f>
        <v/>
      </c>
      <c r="L14" s="50" t="str">
        <f t="shared" si="8"/>
        <v/>
      </c>
      <c r="M14" s="64">
        <f t="shared" si="0"/>
        <v>0</v>
      </c>
      <c r="O14" s="81" t="s">
        <v>28</v>
      </c>
      <c r="P14" s="82">
        <f>I23</f>
        <v>0</v>
      </c>
      <c r="Q14" s="64">
        <f t="shared" si="6"/>
        <v>0</v>
      </c>
      <c r="R14" s="64">
        <f>F14</f>
        <v>0</v>
      </c>
      <c r="S14" s="50">
        <f t="shared" si="3"/>
        <v>0</v>
      </c>
      <c r="T14" s="146" t="e">
        <f t="shared" si="7"/>
        <v>#DIV/0!</v>
      </c>
      <c r="U14" s="145" t="e">
        <f t="shared" si="9"/>
        <v>#DIV/0!</v>
      </c>
    </row>
    <row r="15" spans="1:23" ht="17.399999999999999" thickTop="1" thickBot="1" x14ac:dyDescent="0.35">
      <c r="A15" s="57"/>
      <c r="B15" s="44" t="s">
        <v>111</v>
      </c>
      <c r="C15" s="45"/>
      <c r="D15" s="49"/>
      <c r="E15" s="49" t="s">
        <v>112</v>
      </c>
      <c r="F15" s="46">
        <f>pdcount!Z26</f>
        <v>0</v>
      </c>
      <c r="H15" s="46"/>
      <c r="I15" s="46">
        <v>20</v>
      </c>
      <c r="J15" s="42">
        <f>pdcount!X26</f>
        <v>0</v>
      </c>
      <c r="K15" s="43" t="str">
        <f>IFERROR(TEXT(F15/(HOUR(J15)+MINUTE(J15)/60+SECOND(J15)/3600),"00.00"),"")</f>
        <v/>
      </c>
      <c r="L15" s="50" t="str">
        <f>IFERROR(K15/I15,"")</f>
        <v/>
      </c>
      <c r="M15" s="64">
        <f t="shared" si="0"/>
        <v>0</v>
      </c>
      <c r="N15" s="191" t="e">
        <f>N12/P8</f>
        <v>#DIV/0!</v>
      </c>
      <c r="O15" s="193" t="s">
        <v>52</v>
      </c>
      <c r="P15" s="195">
        <f>N12</f>
        <v>0</v>
      </c>
      <c r="Q15" s="64">
        <f t="shared" si="6"/>
        <v>0</v>
      </c>
      <c r="R15" s="64">
        <f>F15</f>
        <v>0</v>
      </c>
      <c r="S15" s="50">
        <f t="shared" si="3"/>
        <v>0</v>
      </c>
      <c r="T15" s="144"/>
    </row>
    <row r="16" spans="1:23" ht="19.95" customHeight="1" thickTop="1" x14ac:dyDescent="0.3">
      <c r="A16" s="57"/>
      <c r="B16" s="68">
        <v>0</v>
      </c>
      <c r="J16" s="30"/>
      <c r="M16" s="138">
        <f>IFERROR(SUM(M3:M14),0)</f>
        <v>0</v>
      </c>
      <c r="N16" s="192"/>
      <c r="O16" s="194"/>
      <c r="P16" s="196"/>
    </row>
    <row r="17" spans="1:40" ht="19.95" customHeight="1" thickBot="1" x14ac:dyDescent="0.35">
      <c r="A17" s="57"/>
      <c r="B17" s="68">
        <v>0</v>
      </c>
      <c r="J17" s="30"/>
      <c r="M17" s="112" t="s">
        <v>84</v>
      </c>
      <c r="N17" s="85" t="e">
        <f>N12/P8</f>
        <v>#DIV/0!</v>
      </c>
    </row>
    <row r="18" spans="1:40" ht="19.95" customHeight="1" thickTop="1" thickBot="1" x14ac:dyDescent="0.35">
      <c r="A18" s="57"/>
      <c r="B18" s="68">
        <v>0</v>
      </c>
      <c r="J18" s="30"/>
      <c r="M18" s="83"/>
      <c r="N18" s="85" t="e">
        <f>P18/$P$8</f>
        <v>#DIV/0!</v>
      </c>
      <c r="O18" s="67" t="s">
        <v>29</v>
      </c>
      <c r="P18" s="79">
        <f>K23</f>
        <v>0</v>
      </c>
    </row>
    <row r="19" spans="1:40" ht="19.95" customHeight="1" thickTop="1" thickBot="1" x14ac:dyDescent="0.35">
      <c r="A19" s="57"/>
      <c r="B19" s="68">
        <v>0</v>
      </c>
      <c r="J19" s="30"/>
      <c r="M19" s="83"/>
      <c r="N19" s="85" t="e">
        <f>P19/$P$8</f>
        <v>#DIV/0!</v>
      </c>
      <c r="O19" s="78" t="s">
        <v>50</v>
      </c>
      <c r="P19" s="79">
        <f>U28</f>
        <v>0</v>
      </c>
    </row>
    <row r="20" spans="1:40" ht="19.95" customHeight="1" thickTop="1" thickBot="1" x14ac:dyDescent="0.35">
      <c r="A20" s="57"/>
      <c r="B20" s="68">
        <v>0</v>
      </c>
      <c r="J20" s="30"/>
      <c r="M20" s="83"/>
      <c r="N20" s="64" t="e">
        <f>P20/$P$8</f>
        <v>#DIV/0!</v>
      </c>
      <c r="O20" s="78" t="s">
        <v>51</v>
      </c>
      <c r="P20" s="79">
        <v>4.1666666666666664E-2</v>
      </c>
    </row>
    <row r="21" spans="1:40" ht="19.95" customHeight="1" thickTop="1" thickBot="1" x14ac:dyDescent="0.35">
      <c r="A21" s="57"/>
      <c r="B21" s="68">
        <v>0</v>
      </c>
      <c r="J21" s="30"/>
      <c r="M21" s="83"/>
      <c r="N21" s="60" t="e">
        <f>SUM(N17:N20)</f>
        <v>#DIV/0!</v>
      </c>
      <c r="P21" s="12">
        <f>SUM(P15:P20)</f>
        <v>4.1666666666666664E-2</v>
      </c>
    </row>
    <row r="22" spans="1:40" ht="19.2" thickTop="1" thickBot="1" x14ac:dyDescent="0.35">
      <c r="A22" s="58"/>
      <c r="B22" s="36">
        <v>1</v>
      </c>
      <c r="C22" s="19"/>
      <c r="D22" s="91" t="s">
        <v>15</v>
      </c>
      <c r="E22" s="20"/>
      <c r="F22" s="27"/>
      <c r="G22" s="27"/>
      <c r="H22" s="87" t="s">
        <v>5</v>
      </c>
      <c r="I22" s="88" t="s">
        <v>6</v>
      </c>
      <c r="J22" s="89" t="s">
        <v>7</v>
      </c>
      <c r="K22" s="90" t="s">
        <v>104</v>
      </c>
      <c r="M22" s="83"/>
      <c r="N22" s="60"/>
      <c r="P22" s="93"/>
    </row>
    <row r="23" spans="1:40" ht="19.2" thickTop="1" thickBot="1" x14ac:dyDescent="0.35">
      <c r="A23" s="56" t="str">
        <f>Main!B28</f>
        <v/>
      </c>
      <c r="B23" s="18" t="s">
        <v>3</v>
      </c>
      <c r="C23" s="19">
        <f>SUM(E30:E53)</f>
        <v>0</v>
      </c>
      <c r="D23" s="20"/>
      <c r="E23" s="9"/>
      <c r="F23" s="28"/>
      <c r="G23" s="29" t="s">
        <v>4</v>
      </c>
      <c r="H23" s="21">
        <f>pdcount!Y26</f>
        <v>0</v>
      </c>
      <c r="I23" s="22">
        <f>pdcount!W26</f>
        <v>0</v>
      </c>
      <c r="J23" s="66">
        <f>SUM(H23:I23)</f>
        <v>0</v>
      </c>
      <c r="K23" s="23">
        <f>pdcount!X26</f>
        <v>0</v>
      </c>
      <c r="M23" s="83"/>
      <c r="N23" s="60"/>
      <c r="P23" s="93"/>
    </row>
    <row r="24" spans="1:40" s="126" customFormat="1" ht="17.399999999999999" customHeight="1" thickBot="1" x14ac:dyDescent="0.35">
      <c r="A24" s="122"/>
      <c r="B24" s="122"/>
      <c r="C24" s="122"/>
      <c r="D24" s="122"/>
      <c r="E24" s="122"/>
      <c r="F24" s="122"/>
      <c r="G24" s="122"/>
      <c r="H24" s="123">
        <f>IFERROR(CONCATENATE(TEXT(D3/(HOUR(H23) + MINUTE(H23)/60 + SECOND(H23)/3600),"00.00") &amp; " p/h"),0)</f>
        <v>0</v>
      </c>
      <c r="I24" s="124">
        <f>IFERROR(CONCATENATE(TEXT(E14/(HOUR(I23) + MINUTE(I23)/60 + SECOND(I23)/3600),"00.00") &amp; " p/h"),0)</f>
        <v>0</v>
      </c>
      <c r="J24" s="125">
        <f>IFERROR(CONCATENATE(TEXT(E3/(HOUR(J23) + MINUTE(J23)/60 + SECOND(J23)/3600),"00.00") &amp; " p/h"),0)</f>
        <v>0</v>
      </c>
      <c r="K24" s="125">
        <f>IFERROR(CONCATENATE(TEXT(A1/(HOUR(K23) + MINUTE(K23)/60 + SECOND(K23)/3600),"00.00") &amp; " p/h"),0)</f>
        <v>0</v>
      </c>
      <c r="L24" s="5"/>
      <c r="M24" s="83"/>
      <c r="N24" s="60"/>
      <c r="O24" s="4"/>
      <c r="P24" s="93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40" s="126" customFormat="1" ht="16.8" thickTop="1" x14ac:dyDescent="0.3">
      <c r="A25" s="119"/>
      <c r="B25" s="4"/>
      <c r="C25" s="4"/>
      <c r="D25" s="4"/>
      <c r="E25" s="4"/>
      <c r="F25" s="26"/>
      <c r="G25" s="26"/>
      <c r="H25" s="26"/>
      <c r="I25" s="5"/>
      <c r="J25" s="5"/>
      <c r="K25" s="5"/>
      <c r="L25" s="5"/>
      <c r="M25" s="83"/>
      <c r="N25" s="60"/>
      <c r="O25" s="4"/>
      <c r="P25" s="93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40" s="126" customFormat="1" ht="16.8" thickBot="1" x14ac:dyDescent="0.35">
      <c r="A26" s="119"/>
      <c r="B26" s="4"/>
      <c r="C26" s="4"/>
      <c r="D26" s="4"/>
      <c r="E26" s="4"/>
      <c r="F26" s="26"/>
      <c r="G26" s="26"/>
      <c r="H26" s="26"/>
      <c r="I26" s="5"/>
      <c r="J26" s="5"/>
      <c r="K26" s="5"/>
      <c r="L26" s="5"/>
      <c r="M26" s="83"/>
      <c r="N26" s="47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</row>
    <row r="27" spans="1:40" s="126" customFormat="1" ht="16.2" customHeight="1" thickTop="1" thickBot="1" x14ac:dyDescent="0.35">
      <c r="A27" s="119"/>
      <c r="B27" s="4"/>
      <c r="C27" s="4"/>
      <c r="D27" s="4"/>
      <c r="E27" s="4"/>
      <c r="F27" s="26"/>
      <c r="G27" s="26"/>
      <c r="H27" s="26"/>
      <c r="I27" s="5"/>
      <c r="J27" s="5"/>
      <c r="K27" s="5"/>
      <c r="L27" s="5"/>
      <c r="M27" s="86" t="str">
        <f>IFERROR("",SUM(M3:M14))</f>
        <v/>
      </c>
      <c r="N27" s="47"/>
      <c r="O27" s="4"/>
      <c r="P27" s="4"/>
      <c r="Q27" s="5"/>
      <c r="R27" s="5"/>
      <c r="S27" s="5"/>
      <c r="T27" s="67"/>
      <c r="U27" s="72" t="s">
        <v>36</v>
      </c>
      <c r="V27" s="12"/>
      <c r="W27" s="93"/>
      <c r="X27" s="4"/>
      <c r="Y27" s="4"/>
    </row>
    <row r="28" spans="1:40" s="126" customFormat="1" ht="32.4" thickTop="1" thickBot="1" x14ac:dyDescent="0.35">
      <c r="A28" s="59"/>
      <c r="B28" s="51" t="str">
        <f>B30</f>
        <v/>
      </c>
      <c r="C28" s="24"/>
      <c r="D28" s="1"/>
      <c r="E28" s="24" t="s">
        <v>17</v>
      </c>
      <c r="F28" s="31"/>
      <c r="G28" s="31"/>
      <c r="H28" s="31"/>
      <c r="I28" s="3"/>
      <c r="J28" s="3"/>
      <c r="K28" s="3"/>
      <c r="M28" s="127"/>
      <c r="N28" s="70" t="s">
        <v>33</v>
      </c>
      <c r="O28" s="128" t="s">
        <v>34</v>
      </c>
      <c r="P28" s="72" t="s">
        <v>35</v>
      </c>
      <c r="S28" s="127"/>
      <c r="T28" s="72" t="str">
        <f>IF(S28="","",SUMIF(A24:A24,S28,C24:C24))</f>
        <v/>
      </c>
      <c r="U28" s="72">
        <f>SUM(U29:U49)</f>
        <v>0</v>
      </c>
      <c r="Y28" s="72">
        <f>SUM(Y29:Y49)</f>
        <v>0</v>
      </c>
      <c r="AA28" s="126" t="str">
        <f>IF(AA30="","","("&amp;_xlfn.TEXTJOIN(" &amp; ",TRUE,AA41:AA49)&amp;")")</f>
        <v/>
      </c>
      <c r="AC28" s="126" t="str">
        <f>IF(AC30="","","("&amp;_xlfn.TEXTJOIN(" &amp; ",TRUE,AC41:AC49)&amp;")")</f>
        <v/>
      </c>
      <c r="AE28" s="126" t="str">
        <f>IF(AE30="","","("&amp;_xlfn.TEXTJOIN(" &amp; ",TRUE,AE41:AE49)&amp;")")</f>
        <v/>
      </c>
      <c r="AG28" s="126" t="str">
        <f>IF(AG30="","","("&amp;_xlfn.TEXTJOIN(" &amp; ",TRUE,AG41:AG49)&amp;")")</f>
        <v/>
      </c>
      <c r="AI28" s="126" t="str">
        <f>IF(AI30="","","("&amp;_xlfn.TEXTJOIN(" &amp; ",TRUE,AI41:AI49)&amp;")")</f>
        <v/>
      </c>
      <c r="AK28" s="126" t="str">
        <f>IF(AK30="","","("&amp;_xlfn.TEXTJOIN(" &amp; ",TRUE,AK41:AK49)&amp;")")</f>
        <v/>
      </c>
      <c r="AM28" s="126" t="str">
        <f>IF(AM30="","","("&amp;_xlfn.TEXTJOIN(" &amp; ",TRUE,AM41:AM49)&amp;")")</f>
        <v/>
      </c>
    </row>
    <row r="29" spans="1:40" s="126" customFormat="1" ht="16.2" customHeight="1" thickTop="1" thickBot="1" x14ac:dyDescent="0.35">
      <c r="A29" s="121" t="s">
        <v>93</v>
      </c>
      <c r="B29" s="121" t="s">
        <v>94</v>
      </c>
      <c r="C29" s="121" t="s">
        <v>95</v>
      </c>
      <c r="D29" s="121" t="s">
        <v>96</v>
      </c>
      <c r="E29" s="121" t="s">
        <v>97</v>
      </c>
      <c r="F29" s="120" t="s">
        <v>98</v>
      </c>
      <c r="G29" s="120" t="s">
        <v>99</v>
      </c>
      <c r="H29" s="120" t="s">
        <v>30</v>
      </c>
      <c r="I29" s="5"/>
      <c r="J29" s="5"/>
      <c r="K29" s="5"/>
      <c r="L29" s="89" t="s">
        <v>18</v>
      </c>
      <c r="M29" s="127" t="e" cm="1" vm="2">
        <f t="array" ref="M29">_xlfn._xlws.FILTER(D30:D55,(C30:C55&lt;&gt;"EOD")*(C30:C55&lt;&gt;"lunch")*(C30:C55&lt;&gt;"break")*(C30:C55&lt;&gt;"CLOCK IN")*(C30:C55&lt;&gt;"RMA")*(C30:C55&lt;&gt;"RTV")*(C30:C55&lt;&gt;"PRV")*(C30:C55&lt;&gt;"jobtype")*(LEN(C30:C55)&gt;0))</f>
        <v>#VALUE!</v>
      </c>
      <c r="N29" s="129" t="e" vm="1">
        <f>IF(M29="","",INDEX($C$30:$C$55, MATCH(M29, $D$30:$D$55, 0)))</f>
        <v>#VALUE!</v>
      </c>
      <c r="O29" s="130" t="e" vm="1">
        <f>IF(M29="","",IF(INDEX($F$30:$F$55, MATCH(M29, $D$30:$D$55, 0))="",N29,INDEX($F$30:$F$55, MATCH(M29, $D$30:$D$55, 0))))</f>
        <v>#VALUE!</v>
      </c>
      <c r="P29" s="72" t="e" vm="1">
        <f>IF(M29="","",INDEX($E$30:$E$55, MATCH(M29, $D$30:$D$55, 0)))</f>
        <v>#VALUE!</v>
      </c>
      <c r="R29" s="127" t="str" cm="1">
        <f t="array" ref="R29">IFERROR(_xlfn._xlws.FILTER(D30:D55,(C30:C55&lt;&gt;"EOD")*(C30:C55&lt;&gt;"lunch")*(C30:C55&lt;&gt;"break")*(C30:C55&lt;&gt;"CLOCK IN")*(C30:C55&lt;&gt;"RMA")*(C30:C55&lt;&gt;"RTV")*(C30:C55&lt;&gt;"PRV")*(C30:C55&lt;&gt;"jobtype")*(LEN(C30:C55)&gt;0)*(ISERROR(SEARCH("5s", C30:C55)))),"")</f>
        <v/>
      </c>
      <c r="S29" s="129" t="str">
        <f>IF(R29="","",INDEX($C$30:$C$55, MATCH(R29, $D$30:$D$55, 0)))</f>
        <v/>
      </c>
      <c r="T29" s="130" t="str">
        <f>IF(R29="","",IF(INDEX($F$30:$F$55, MATCH(R29, $D$30:$D$55, 0))="",S29,INDEX($F$30:$F$55, MATCH(R29, $D$30:$D$55, 0))))</f>
        <v/>
      </c>
      <c r="U29" s="72" t="str">
        <f>IF(R29="","",INDEX($E$30:$E$55, MATCH(R29, $D$30:$D$55, 0)))</f>
        <v/>
      </c>
      <c r="W29" s="72" t="str">
        <f>IF(X29="","",INDEX(S29:S49, MATCH(X29, T29:T49, 0)))</f>
        <v/>
      </c>
      <c r="X29" s="72" t="str" cm="1">
        <f t="array" ref="X29">_xlfn.UNIQUE(T29:T49)</f>
        <v/>
      </c>
      <c r="Y29" s="72" t="str">
        <f>IF(X29="","",SUMIF(T29:T49, X29, U29:U49))</f>
        <v/>
      </c>
      <c r="Z29" s="126" t="str">
        <f>IF(AA$28="","",AA$28)</f>
        <v/>
      </c>
      <c r="AA29" s="168" t="str">
        <f>IF(X29="","",X29)</f>
        <v/>
      </c>
      <c r="AB29" s="170"/>
      <c r="AC29" s="168" t="str">
        <f>IF(X30="","",X30)</f>
        <v/>
      </c>
      <c r="AD29" s="170"/>
      <c r="AE29" s="168" t="str">
        <f>IF(X31="","",X31)</f>
        <v/>
      </c>
      <c r="AF29" s="170"/>
      <c r="AG29" s="169" t="str">
        <f>IF(X32="","",X32)</f>
        <v/>
      </c>
      <c r="AH29" s="172"/>
      <c r="AI29" s="169" t="str">
        <f>IF(X33="","",X33)</f>
        <v/>
      </c>
      <c r="AJ29" s="172"/>
      <c r="AK29" s="169" t="str">
        <f>IF(X34="","",X34)</f>
        <v/>
      </c>
      <c r="AL29" s="172"/>
      <c r="AM29" s="169" t="str">
        <f>IF(X35="","",X35)</f>
        <v/>
      </c>
      <c r="AN29" s="171"/>
    </row>
    <row r="30" spans="1:40" s="126" customFormat="1" ht="17.399999999999999" thickTop="1" thickBot="1" x14ac:dyDescent="0.35">
      <c r="A30" s="119" t="str">
        <f>IF(DATA!A1="","",DATA!A1)</f>
        <v/>
      </c>
      <c r="B30" s="119" t="str">
        <f>IF(DATA!B1="","",DATA!B1)</f>
        <v/>
      </c>
      <c r="C30" s="119" t="str">
        <f>IF(DATA!C1="","",DATA!C1)</f>
        <v/>
      </c>
      <c r="D30" s="119" t="str">
        <f>IF(DATA!D1="","",DATA!D1)</f>
        <v/>
      </c>
      <c r="E30" s="119" t="str">
        <f>IF(DATA!E1="","",DATA!E1)</f>
        <v/>
      </c>
      <c r="F30" s="119" t="str">
        <f>IF(DATA!F1="","",DATA!F1)</f>
        <v/>
      </c>
      <c r="G30" s="119" t="str">
        <f>IF(DATA!G1="","",DATA!G1)</f>
        <v/>
      </c>
      <c r="H30" s="119" t="str">
        <f>IF(DATA!H1="","",DATA!H1)</f>
        <v/>
      </c>
      <c r="I30" s="5"/>
      <c r="J30" s="5"/>
      <c r="K30" s="5"/>
      <c r="L30" s="131">
        <f>SUMIFS($E$30:$E$55, $C$30:$C$55, "lunch")</f>
        <v>0</v>
      </c>
      <c r="M30" s="127"/>
      <c r="N30" s="129" t="str">
        <f t="shared" ref="N30:N33" si="10">IF(M30="","",INDEX($C$30:$C$55, MATCH(M30, $D$30:$D$55, 0)))</f>
        <v/>
      </c>
      <c r="O30" s="130" t="str">
        <f t="shared" ref="O30:O53" si="11">IF(M30="","",IF(INDEX($F$30:$F$55, MATCH(M30, $D$30:$D$55, 0))="",N30,INDEX($F$30:$F$55, MATCH(M30, $D$30:$D$55, 0))))</f>
        <v/>
      </c>
      <c r="P30" s="72" t="str">
        <f t="shared" ref="P30:P53" si="12">IF(M30="","",INDEX($E$30:$E$55, MATCH(M30, $D$30:$D$55, 0)))</f>
        <v/>
      </c>
      <c r="R30" s="127"/>
      <c r="S30" s="129" t="str">
        <f t="shared" ref="S30:S53" si="13">IF(R30="","",INDEX($C$30:$C$55, MATCH(R30, $D$30:$D$55, 0)))</f>
        <v/>
      </c>
      <c r="T30" s="130" t="str">
        <f t="shared" ref="T30:T53" si="14">IF(R30="","",IF(INDEX($F$30:$F$55, MATCH(R30, $D$30:$D$55, 0))="",S30,INDEX($F$30:$F$55, MATCH(R30, $D$30:$D$55, 0))))</f>
        <v/>
      </c>
      <c r="U30" s="72" t="str">
        <f t="shared" ref="U30:U53" si="15">IF(R30="","",INDEX($E$30:$E$55, MATCH(R30, $D$30:$D$55, 0)))</f>
        <v/>
      </c>
      <c r="W30" s="72" t="str">
        <f t="shared" ref="W30:W34" si="16">IF(X30="","",INDEX(S30:S50, MATCH(X30, T30:T50, 0)))</f>
        <v/>
      </c>
      <c r="X30" s="72"/>
      <c r="Y30" s="72" t="str">
        <f t="shared" ref="Y30:Y34" si="17">IF(X30="","",SUMIF(T30:T50, X30, U30:U50))</f>
        <v/>
      </c>
      <c r="Z30" s="126" t="str">
        <f>IF(AC$28="","",AC$28)</f>
        <v/>
      </c>
      <c r="AA30" s="174" t="str" cm="1">
        <f t="array" ref="AA30">IFERROR(IF(AA29="","",_xlfn.UNIQUE(_xlfn._xlws.FILTER($G$30:$G$53,$F$30:$F$53=AA29))),"no project description")</f>
        <v/>
      </c>
      <c r="AB30" s="126" t="str">
        <f>IF(AA30="","",SUMIF(G30:G53,AA30,H30:H53))</f>
        <v/>
      </c>
      <c r="AC30" s="174" t="str" cm="1">
        <f t="array" ref="AC30">IF(AC29="","",_xlfn.UNIQUE(_xlfn._xlws.FILTER($G$30:$G$53,$F$30:$F$53=AC29)))</f>
        <v/>
      </c>
      <c r="AD30" s="173" t="str">
        <f>IF(AC30="","",SUMIF(G30:G53,AC30,H30:H53))</f>
        <v/>
      </c>
      <c r="AE30" s="174" t="str" cm="1">
        <f t="array" ref="AE30">IF(AE29="","",_xlfn.UNIQUE(_xlfn._xlws.FILTER($G$30:$G$53,$F$30:$F$53=AE29)))</f>
        <v/>
      </c>
      <c r="AF30" s="173" t="str">
        <f>IF(AE30="","",SUMIF(G30:G53,AE30,H30:H53))</f>
        <v/>
      </c>
      <c r="AG30" s="174" t="str" cm="1">
        <f t="array" ref="AG30">IF(AG29="","",_xlfn.UNIQUE(_xlfn._xlws.FILTER($G$30:$G$53,$F$30:$F$53=AG29)))</f>
        <v/>
      </c>
      <c r="AH30" s="173" t="str">
        <f>IF(AG30="","",SUMIF(G30:G53,AG30,H30:H53))</f>
        <v/>
      </c>
      <c r="AI30" s="174" t="str" cm="1">
        <f t="array" ref="AI30">IF(AI29="","",_xlfn.UNIQUE(_xlfn._xlws.FILTER($G$30:$G$53,$F$30:$F$53=AI29)))</f>
        <v/>
      </c>
      <c r="AJ30" s="173" t="str">
        <f>IF(AI30="","",SUMIF(G30:G53,AI30,H30:H53))</f>
        <v/>
      </c>
      <c r="AK30" s="174" t="str" cm="1">
        <f t="array" ref="AK30">IF(AK29="","",_xlfn.UNIQUE(_xlfn._xlws.FILTER($G$30:$G$53,$F$30:$F$53=AK29)))</f>
        <v/>
      </c>
      <c r="AL30" s="173" t="str">
        <f>IF(AK30="","",SUMIF(G30:G53,AK30,H30:H53))</f>
        <v/>
      </c>
      <c r="AM30" s="174" t="str" cm="1">
        <f t="array" ref="AM30">IF(AM29="","",_xlfn.UNIQUE(_xlfn._xlws.FILTER($G$30:$G$53,$F$30:$F$53=AM29)))</f>
        <v/>
      </c>
      <c r="AN30" s="173" t="str">
        <f>IF(AM30="","",SUMIF(G30:G53,AM30,H30:H53))</f>
        <v/>
      </c>
    </row>
    <row r="31" spans="1:40" s="126" customFormat="1" ht="16.2" customHeight="1" thickTop="1" thickBot="1" x14ac:dyDescent="0.35">
      <c r="A31" s="119" t="str">
        <f>IF(DATA!A2="","",DATA!A2)</f>
        <v/>
      </c>
      <c r="B31" s="135" t="str">
        <f>IF(DATA!B2="","",DATA!B2)</f>
        <v/>
      </c>
      <c r="C31" s="119" t="str">
        <f>IF(DATA!C2="","",DATA!C2)</f>
        <v/>
      </c>
      <c r="D31" s="136" t="str">
        <f>IF(DATA!D2="","",DATA!D2)</f>
        <v/>
      </c>
      <c r="E31" s="119" t="str">
        <f>IF(DATA!E2="","",DATA!E2)</f>
        <v/>
      </c>
      <c r="F31" s="119" t="str">
        <f>IF(DATA!F2="","",DATA!F2)</f>
        <v/>
      </c>
      <c r="G31" s="119" t="str">
        <f>IF(DATA!G2="","",DATA!G2)</f>
        <v/>
      </c>
      <c r="H31" s="119" t="str">
        <f>IF(DATA!H2="","",DATA!H2)</f>
        <v/>
      </c>
      <c r="I31" s="5"/>
      <c r="J31" s="5"/>
      <c r="K31" s="5"/>
      <c r="M31" s="127"/>
      <c r="N31" s="129" t="str">
        <f t="shared" si="10"/>
        <v/>
      </c>
      <c r="O31" s="130" t="str">
        <f t="shared" si="11"/>
        <v/>
      </c>
      <c r="P31" s="72" t="str">
        <f t="shared" si="12"/>
        <v/>
      </c>
      <c r="R31" s="127"/>
      <c r="S31" s="129" t="str">
        <f t="shared" si="13"/>
        <v/>
      </c>
      <c r="T31" s="130" t="str">
        <f t="shared" si="14"/>
        <v/>
      </c>
      <c r="U31" s="72" t="str">
        <f t="shared" si="15"/>
        <v/>
      </c>
      <c r="W31" s="72" t="str">
        <f t="shared" si="16"/>
        <v/>
      </c>
      <c r="X31" s="72"/>
      <c r="Y31" s="72" t="str">
        <f t="shared" si="17"/>
        <v/>
      </c>
      <c r="Z31" s="126" t="str">
        <f>IF(AE$28="","",AE$28)</f>
        <v/>
      </c>
      <c r="AA31" s="175"/>
      <c r="AB31" s="126" t="str">
        <f t="shared" ref="AB31:AB39" si="18">IF(AA31="","",SUMIF(G31:G54,AA31,H31:H54))</f>
        <v/>
      </c>
      <c r="AC31" s="175"/>
      <c r="AD31" s="173" t="str">
        <f t="shared" ref="AD31:AD39" si="19">IF(AC31="","",SUMIF(G31:G54,AC31,H31:H54))</f>
        <v/>
      </c>
      <c r="AE31" s="175"/>
      <c r="AF31" s="173" t="str">
        <f t="shared" ref="AF31:AF39" si="20">IF(AE31="","",SUMIF(G31:G54,AE31,H31:H54))</f>
        <v/>
      </c>
      <c r="AG31" s="175"/>
      <c r="AH31" s="173" t="str">
        <f t="shared" ref="AH31:AH39" si="21">IF(AG31="","",SUMIF(G31:G54,AG31,H31:H54))</f>
        <v/>
      </c>
      <c r="AI31" s="175"/>
      <c r="AJ31" s="173" t="str">
        <f t="shared" ref="AJ31:AJ39" si="22">IF(AI31="","",SUMIF(G31:G54,AI31,H31:H54))</f>
        <v/>
      </c>
      <c r="AK31" s="175"/>
      <c r="AL31" s="173" t="str">
        <f t="shared" ref="AL31:AL39" si="23">IF(AK31="","",SUMIF(G31:G54,AK31,H31:H54))</f>
        <v/>
      </c>
      <c r="AM31" s="175"/>
      <c r="AN31" s="173" t="str">
        <f t="shared" ref="AN31:AN39" si="24">IF(AM31="","",SUMIF(G31:G54,AM31,H31:H54))</f>
        <v/>
      </c>
    </row>
    <row r="32" spans="1:40" s="126" customFormat="1" ht="17.399999999999999" thickTop="1" thickBot="1" x14ac:dyDescent="0.35">
      <c r="A32" s="119" t="str">
        <f>IF(DATA!A3="","",DATA!A3)</f>
        <v/>
      </c>
      <c r="B32" s="135" t="str">
        <f>IF(DATA!B3="","",DATA!B3)</f>
        <v/>
      </c>
      <c r="C32" s="119" t="str">
        <f>IF(DATA!C3="","",DATA!C3)</f>
        <v/>
      </c>
      <c r="D32" s="136" t="str">
        <f>IF(DATA!D3="","",DATA!D3)</f>
        <v/>
      </c>
      <c r="E32" s="119" t="str">
        <f>IF(DATA!E3="","",DATA!E3)</f>
        <v/>
      </c>
      <c r="F32" s="119" t="str">
        <f>IF(DATA!F3="","",DATA!F3)</f>
        <v/>
      </c>
      <c r="G32" s="119" t="str">
        <f>IF(DATA!G3="","",DATA!G3)</f>
        <v/>
      </c>
      <c r="H32" s="119" t="str">
        <f>IF(DATA!H3="","",DATA!H3)</f>
        <v/>
      </c>
      <c r="I32" s="5"/>
      <c r="J32" s="5"/>
      <c r="K32" s="5"/>
      <c r="M32" s="127"/>
      <c r="N32" s="129" t="str">
        <f t="shared" si="10"/>
        <v/>
      </c>
      <c r="O32" s="130" t="str">
        <f t="shared" si="11"/>
        <v/>
      </c>
      <c r="P32" s="72" t="str">
        <f t="shared" si="12"/>
        <v/>
      </c>
      <c r="R32" s="127"/>
      <c r="S32" s="129" t="str">
        <f t="shared" si="13"/>
        <v/>
      </c>
      <c r="T32" s="130" t="str">
        <f t="shared" si="14"/>
        <v/>
      </c>
      <c r="U32" s="72" t="str">
        <f t="shared" si="15"/>
        <v/>
      </c>
      <c r="W32" s="72" t="str">
        <f t="shared" si="16"/>
        <v/>
      </c>
      <c r="X32" s="72"/>
      <c r="Y32" s="72" t="str">
        <f t="shared" si="17"/>
        <v/>
      </c>
      <c r="Z32" s="126" t="str">
        <f>IF(AG$28="","",AG$28)</f>
        <v/>
      </c>
      <c r="AA32" s="175"/>
      <c r="AB32" s="126" t="str">
        <f t="shared" si="18"/>
        <v/>
      </c>
      <c r="AC32" s="175"/>
      <c r="AD32" s="173" t="str">
        <f t="shared" si="19"/>
        <v/>
      </c>
      <c r="AE32" s="175"/>
      <c r="AF32" s="173" t="str">
        <f t="shared" si="20"/>
        <v/>
      </c>
      <c r="AG32" s="175"/>
      <c r="AH32" s="173" t="str">
        <f t="shared" si="21"/>
        <v/>
      </c>
      <c r="AI32" s="175"/>
      <c r="AJ32" s="173" t="str">
        <f t="shared" si="22"/>
        <v/>
      </c>
      <c r="AK32" s="175"/>
      <c r="AL32" s="173" t="str">
        <f t="shared" si="23"/>
        <v/>
      </c>
      <c r="AM32" s="175"/>
      <c r="AN32" s="173" t="str">
        <f t="shared" si="24"/>
        <v/>
      </c>
    </row>
    <row r="33" spans="1:40" s="126" customFormat="1" ht="17.399999999999999" thickTop="1" thickBot="1" x14ac:dyDescent="0.35">
      <c r="A33" s="119" t="str">
        <f>IF(DATA!A4="","",DATA!A4)</f>
        <v/>
      </c>
      <c r="B33" s="135" t="str">
        <f>IF(DATA!B4="","",DATA!B4)</f>
        <v/>
      </c>
      <c r="C33" s="119" t="str">
        <f>IF(DATA!C4="","",DATA!C4)</f>
        <v/>
      </c>
      <c r="D33" s="136" t="str">
        <f>IF(DATA!D4="","",DATA!D4)</f>
        <v/>
      </c>
      <c r="E33" s="119" t="str">
        <f>IF(DATA!E4="","",DATA!E4)</f>
        <v/>
      </c>
      <c r="F33" s="119" t="str">
        <f>IF(DATA!F4="","",DATA!F4)</f>
        <v/>
      </c>
      <c r="G33" s="119" t="str">
        <f>IF(DATA!G4="","",DATA!G4)</f>
        <v/>
      </c>
      <c r="H33" s="119" t="str">
        <f>IF(DATA!H4="","",DATA!H4)</f>
        <v/>
      </c>
      <c r="I33" s="5"/>
      <c r="J33" s="5"/>
      <c r="K33" s="5"/>
      <c r="M33" s="127"/>
      <c r="N33" s="129" t="str">
        <f t="shared" si="10"/>
        <v/>
      </c>
      <c r="O33" s="130" t="str">
        <f t="shared" si="11"/>
        <v/>
      </c>
      <c r="P33" s="72" t="str">
        <f t="shared" si="12"/>
        <v/>
      </c>
      <c r="R33" s="127"/>
      <c r="S33" s="129" t="str">
        <f t="shared" si="13"/>
        <v/>
      </c>
      <c r="T33" s="130" t="str">
        <f t="shared" si="14"/>
        <v/>
      </c>
      <c r="U33" s="72" t="str">
        <f t="shared" si="15"/>
        <v/>
      </c>
      <c r="W33" s="72" t="str">
        <f t="shared" si="16"/>
        <v/>
      </c>
      <c r="X33" s="72"/>
      <c r="Y33" s="72" t="str">
        <f t="shared" si="17"/>
        <v/>
      </c>
      <c r="Z33" s="126" t="str">
        <f>IF(AI$28="","",AI$28)</f>
        <v/>
      </c>
      <c r="AA33" s="175"/>
      <c r="AB33" s="126" t="str">
        <f t="shared" si="18"/>
        <v/>
      </c>
      <c r="AC33" s="175"/>
      <c r="AD33" s="173" t="str">
        <f t="shared" si="19"/>
        <v/>
      </c>
      <c r="AE33" s="175"/>
      <c r="AF33" s="173" t="str">
        <f t="shared" si="20"/>
        <v/>
      </c>
      <c r="AG33" s="175"/>
      <c r="AH33" s="173" t="str">
        <f t="shared" si="21"/>
        <v/>
      </c>
      <c r="AI33" s="175"/>
      <c r="AJ33" s="173" t="str">
        <f t="shared" si="22"/>
        <v/>
      </c>
      <c r="AK33" s="175"/>
      <c r="AL33" s="173" t="str">
        <f t="shared" si="23"/>
        <v/>
      </c>
      <c r="AM33" s="175"/>
      <c r="AN33" s="173" t="str">
        <f t="shared" si="24"/>
        <v/>
      </c>
    </row>
    <row r="34" spans="1:40" s="126" customFormat="1" ht="17.399999999999999" thickTop="1" thickBot="1" x14ac:dyDescent="0.35">
      <c r="A34" s="119" t="str">
        <f>IF(DATA!A5="","",DATA!A5)</f>
        <v/>
      </c>
      <c r="B34" s="135" t="str">
        <f>IF(DATA!B5="","",DATA!B5)</f>
        <v/>
      </c>
      <c r="C34" s="119" t="str">
        <f>IF(DATA!C5="","",DATA!C5)</f>
        <v/>
      </c>
      <c r="D34" s="136" t="str">
        <f>IF(DATA!D5="","",DATA!D5)</f>
        <v/>
      </c>
      <c r="E34" s="119" t="str">
        <f>IF(DATA!E5="","",DATA!E5)</f>
        <v/>
      </c>
      <c r="F34" s="119" t="str">
        <f>IF(DATA!F5="","",DATA!F5)</f>
        <v/>
      </c>
      <c r="G34" s="119" t="str">
        <f>IF(DATA!G5="","",DATA!G5)</f>
        <v/>
      </c>
      <c r="H34" s="119" t="str">
        <f>IF(DATA!H5="","",DATA!H5)</f>
        <v/>
      </c>
      <c r="I34" s="5"/>
      <c r="J34" s="5"/>
      <c r="K34" s="5"/>
      <c r="M34" s="127"/>
      <c r="N34" s="129" t="str">
        <f t="shared" ref="N34:N53" si="25">IF(M34="","",INDEX($C$30:$C$55, MATCH(M34, $D$30:$D$55, 0)))</f>
        <v/>
      </c>
      <c r="O34" s="130" t="str">
        <f t="shared" si="11"/>
        <v/>
      </c>
      <c r="P34" s="72" t="str">
        <f t="shared" si="12"/>
        <v/>
      </c>
      <c r="R34" s="127"/>
      <c r="S34" s="129" t="str">
        <f t="shared" si="13"/>
        <v/>
      </c>
      <c r="T34" s="130" t="str">
        <f t="shared" si="14"/>
        <v/>
      </c>
      <c r="U34" s="72" t="str">
        <f t="shared" si="15"/>
        <v/>
      </c>
      <c r="W34" s="72" t="str">
        <f t="shared" si="16"/>
        <v/>
      </c>
      <c r="X34" s="72"/>
      <c r="Y34" s="72" t="str">
        <f t="shared" si="17"/>
        <v/>
      </c>
      <c r="Z34" s="126" t="str">
        <f>IF(AK$28="","",AK$28)</f>
        <v/>
      </c>
      <c r="AA34" s="175"/>
      <c r="AB34" s="126" t="str">
        <f t="shared" si="18"/>
        <v/>
      </c>
      <c r="AC34" s="175"/>
      <c r="AD34" s="173" t="str">
        <f t="shared" si="19"/>
        <v/>
      </c>
      <c r="AE34" s="175"/>
      <c r="AF34" s="173" t="str">
        <f t="shared" si="20"/>
        <v/>
      </c>
      <c r="AG34" s="175"/>
      <c r="AH34" s="173" t="str">
        <f t="shared" si="21"/>
        <v/>
      </c>
      <c r="AI34" s="175"/>
      <c r="AJ34" s="173" t="str">
        <f t="shared" si="22"/>
        <v/>
      </c>
      <c r="AK34" s="175"/>
      <c r="AL34" s="173" t="str">
        <f t="shared" si="23"/>
        <v/>
      </c>
      <c r="AM34" s="175"/>
      <c r="AN34" s="173" t="str">
        <f t="shared" si="24"/>
        <v/>
      </c>
    </row>
    <row r="35" spans="1:40" s="126" customFormat="1" ht="17.399999999999999" thickTop="1" thickBot="1" x14ac:dyDescent="0.35">
      <c r="A35" s="119" t="str">
        <f>IF(DATA!A6="","",DATA!A6)</f>
        <v/>
      </c>
      <c r="B35" s="135" t="str">
        <f>IF(DATA!B6="","",DATA!B6)</f>
        <v/>
      </c>
      <c r="C35" s="119" t="str">
        <f>IF(DATA!C6="","",DATA!C6)</f>
        <v/>
      </c>
      <c r="D35" s="136" t="str">
        <f>IF(DATA!D6="","",DATA!D6)</f>
        <v/>
      </c>
      <c r="E35" s="119" t="str">
        <f>IF(DATA!E6="","",DATA!E6)</f>
        <v/>
      </c>
      <c r="F35" s="119" t="str">
        <f>IF(DATA!F6="","",DATA!F6)</f>
        <v/>
      </c>
      <c r="G35" s="119" t="str">
        <f>IF(DATA!G6="","",DATA!G6)</f>
        <v/>
      </c>
      <c r="H35" s="119" t="str">
        <f>IF(DATA!H6="","",DATA!H6)</f>
        <v/>
      </c>
      <c r="I35" s="5"/>
      <c r="J35" s="5"/>
      <c r="K35" s="5"/>
      <c r="M35" s="127"/>
      <c r="N35" s="129" t="str">
        <f t="shared" si="25"/>
        <v/>
      </c>
      <c r="O35" s="130" t="str">
        <f t="shared" si="11"/>
        <v/>
      </c>
      <c r="P35" s="72" t="str">
        <f t="shared" si="12"/>
        <v/>
      </c>
      <c r="R35" s="127"/>
      <c r="S35" s="129" t="str">
        <f t="shared" si="13"/>
        <v/>
      </c>
      <c r="T35" s="130" t="str">
        <f t="shared" si="14"/>
        <v/>
      </c>
      <c r="U35" s="72" t="str">
        <f t="shared" si="15"/>
        <v/>
      </c>
      <c r="W35" s="72" t="str">
        <f>IF(X35="","",INDEX(S35:S54, MATCH(X35, T35:T54, 0)))</f>
        <v/>
      </c>
      <c r="X35" s="72"/>
      <c r="Y35" s="72" t="str">
        <f>IF(X35="","",SUMIF(T35:T54, X35, U35:U54))</f>
        <v/>
      </c>
      <c r="Z35" s="126" t="str">
        <f>IF(AM$28="","",AM$28)</f>
        <v/>
      </c>
      <c r="AA35" s="175"/>
      <c r="AB35" s="126" t="str">
        <f t="shared" si="18"/>
        <v/>
      </c>
      <c r="AC35" s="175"/>
      <c r="AD35" s="173" t="str">
        <f t="shared" si="19"/>
        <v/>
      </c>
      <c r="AE35" s="175"/>
      <c r="AF35" s="173" t="str">
        <f t="shared" si="20"/>
        <v/>
      </c>
      <c r="AG35" s="175"/>
      <c r="AH35" s="173" t="str">
        <f t="shared" si="21"/>
        <v/>
      </c>
      <c r="AI35" s="175"/>
      <c r="AJ35" s="173" t="str">
        <f t="shared" si="22"/>
        <v/>
      </c>
      <c r="AK35" s="175"/>
      <c r="AL35" s="173" t="str">
        <f t="shared" si="23"/>
        <v/>
      </c>
      <c r="AM35" s="175"/>
      <c r="AN35" s="173" t="str">
        <f t="shared" si="24"/>
        <v/>
      </c>
    </row>
    <row r="36" spans="1:40" s="126" customFormat="1" ht="17.399999999999999" thickTop="1" thickBot="1" x14ac:dyDescent="0.35">
      <c r="A36" s="119" t="str">
        <f>IF(DATA!A7="","",DATA!A7)</f>
        <v/>
      </c>
      <c r="B36" s="135" t="str">
        <f>IF(DATA!B7="","",DATA!B7)</f>
        <v/>
      </c>
      <c r="C36" s="119" t="str">
        <f>IF(DATA!C7="","",DATA!C7)</f>
        <v/>
      </c>
      <c r="D36" s="136" t="str">
        <f>IF(DATA!D7="","",DATA!D7)</f>
        <v/>
      </c>
      <c r="E36" s="119" t="str">
        <f>IF(DATA!E7="","",DATA!E7)</f>
        <v/>
      </c>
      <c r="F36" s="119" t="str">
        <f>IF(DATA!F7="","",DATA!F7)</f>
        <v/>
      </c>
      <c r="G36" s="119" t="str">
        <f>IF(DATA!G7="","",DATA!G7)</f>
        <v/>
      </c>
      <c r="H36" s="119" t="str">
        <f>IF(DATA!H7="","",DATA!H7)</f>
        <v/>
      </c>
      <c r="I36" s="5"/>
      <c r="J36" s="5"/>
      <c r="K36" s="5"/>
      <c r="M36" s="127"/>
      <c r="N36" s="129" t="str">
        <f t="shared" si="25"/>
        <v/>
      </c>
      <c r="O36" s="130" t="str">
        <f t="shared" si="11"/>
        <v/>
      </c>
      <c r="P36" s="72" t="str">
        <f t="shared" si="12"/>
        <v/>
      </c>
      <c r="R36" s="127"/>
      <c r="S36" s="129" t="str">
        <f t="shared" si="13"/>
        <v/>
      </c>
      <c r="T36" s="130" t="str">
        <f t="shared" si="14"/>
        <v/>
      </c>
      <c r="U36" s="72" t="str">
        <f t="shared" si="15"/>
        <v/>
      </c>
      <c r="W36" s="72" t="str">
        <f>IF(X36="","",INDEX(S36:S54, MATCH(X36, T36:T54, 0)))</f>
        <v/>
      </c>
      <c r="X36" s="72"/>
      <c r="Y36" s="72" t="str">
        <f>IF(X36="","",SUMIF(T36:T54, X36, U36:U54))</f>
        <v/>
      </c>
      <c r="AA36" s="175"/>
      <c r="AB36" s="126" t="str">
        <f t="shared" si="18"/>
        <v/>
      </c>
      <c r="AC36" s="175"/>
      <c r="AD36" s="173" t="str">
        <f t="shared" si="19"/>
        <v/>
      </c>
      <c r="AE36" s="175"/>
      <c r="AF36" s="173" t="str">
        <f t="shared" si="20"/>
        <v/>
      </c>
      <c r="AG36" s="175"/>
      <c r="AH36" s="173" t="str">
        <f t="shared" si="21"/>
        <v/>
      </c>
      <c r="AI36" s="175"/>
      <c r="AJ36" s="173" t="str">
        <f t="shared" si="22"/>
        <v/>
      </c>
      <c r="AK36" s="175"/>
      <c r="AL36" s="173" t="str">
        <f t="shared" si="23"/>
        <v/>
      </c>
      <c r="AM36" s="175"/>
      <c r="AN36" s="173" t="str">
        <f t="shared" si="24"/>
        <v/>
      </c>
    </row>
    <row r="37" spans="1:40" s="126" customFormat="1" ht="17.399999999999999" thickTop="1" thickBot="1" x14ac:dyDescent="0.35">
      <c r="A37" s="119" t="str">
        <f>IF(DATA!A8="","",DATA!A8)</f>
        <v/>
      </c>
      <c r="B37" s="135" t="str">
        <f>IF(DATA!B8="","",DATA!B8)</f>
        <v/>
      </c>
      <c r="C37" s="119" t="str">
        <f>IF(DATA!C8="","",DATA!C8)</f>
        <v/>
      </c>
      <c r="D37" s="136" t="str">
        <f>IF(DATA!D8="","",DATA!D8)</f>
        <v/>
      </c>
      <c r="E37" s="119" t="str">
        <f>IF(DATA!E8="","",DATA!E8)</f>
        <v/>
      </c>
      <c r="F37" s="119" t="str">
        <f>IF(DATA!F8="","",DATA!F8)</f>
        <v/>
      </c>
      <c r="G37" s="119" t="str">
        <f>IF(DATA!G8="","",DATA!G8)</f>
        <v/>
      </c>
      <c r="H37" s="119" t="str">
        <f>IF(DATA!H8="","",DATA!H8)</f>
        <v/>
      </c>
      <c r="I37" s="5"/>
      <c r="J37" s="5"/>
      <c r="K37" s="5"/>
      <c r="M37" s="127"/>
      <c r="N37" s="129" t="str">
        <f t="shared" si="25"/>
        <v/>
      </c>
      <c r="O37" s="130" t="str">
        <f t="shared" si="11"/>
        <v/>
      </c>
      <c r="P37" s="72" t="str">
        <f t="shared" si="12"/>
        <v/>
      </c>
      <c r="R37" s="127"/>
      <c r="S37" s="129" t="str">
        <f t="shared" si="13"/>
        <v/>
      </c>
      <c r="T37" s="130" t="str">
        <f t="shared" si="14"/>
        <v/>
      </c>
      <c r="U37" s="72" t="str">
        <f t="shared" si="15"/>
        <v/>
      </c>
      <c r="W37" s="72" t="str">
        <f>IF(X37="","",INDEX(S37:S54, MATCH(X37, T37:T54, 0)))</f>
        <v/>
      </c>
      <c r="X37" s="72"/>
      <c r="Y37" s="72" t="str">
        <f>IF(X37="","",SUMIF(T37:T54, X37, U37:U54))</f>
        <v/>
      </c>
      <c r="AA37" s="175"/>
      <c r="AB37" s="126" t="str">
        <f t="shared" si="18"/>
        <v/>
      </c>
      <c r="AC37" s="175"/>
      <c r="AD37" s="173" t="str">
        <f t="shared" si="19"/>
        <v/>
      </c>
      <c r="AE37" s="175"/>
      <c r="AF37" s="173" t="str">
        <f t="shared" si="20"/>
        <v/>
      </c>
      <c r="AG37" s="175"/>
      <c r="AH37" s="173" t="str">
        <f t="shared" si="21"/>
        <v/>
      </c>
      <c r="AI37" s="175"/>
      <c r="AJ37" s="173" t="str">
        <f t="shared" si="22"/>
        <v/>
      </c>
      <c r="AK37" s="175"/>
      <c r="AL37" s="173" t="str">
        <f t="shared" si="23"/>
        <v/>
      </c>
      <c r="AM37" s="175"/>
      <c r="AN37" s="173" t="str">
        <f t="shared" si="24"/>
        <v/>
      </c>
    </row>
    <row r="38" spans="1:40" s="126" customFormat="1" ht="17.399999999999999" thickTop="1" thickBot="1" x14ac:dyDescent="0.35">
      <c r="A38" s="119" t="str">
        <f>IF(DATA!A9="","",DATA!A9)</f>
        <v/>
      </c>
      <c r="B38" s="135" t="str">
        <f>IF(DATA!B9="","",DATA!B9)</f>
        <v/>
      </c>
      <c r="C38" s="119" t="str">
        <f>IF(DATA!C9="","",DATA!C9)</f>
        <v/>
      </c>
      <c r="D38" s="136" t="str">
        <f>IF(DATA!D9="","",DATA!D9)</f>
        <v/>
      </c>
      <c r="E38" s="119" t="str">
        <f>IF(DATA!E9="","",DATA!E9)</f>
        <v/>
      </c>
      <c r="F38" s="119" t="str">
        <f>IF(DATA!F9="","",DATA!F9)</f>
        <v/>
      </c>
      <c r="G38" s="119" t="str">
        <f>IF(DATA!G9="","",DATA!G9)</f>
        <v/>
      </c>
      <c r="H38" s="119" t="str">
        <f>IF(DATA!H9="","",DATA!H9)</f>
        <v/>
      </c>
      <c r="I38" s="5"/>
      <c r="J38" s="5"/>
      <c r="K38" s="5"/>
      <c r="M38" s="127"/>
      <c r="N38" s="129" t="str">
        <f t="shared" si="25"/>
        <v/>
      </c>
      <c r="O38" s="130" t="str">
        <f t="shared" si="11"/>
        <v/>
      </c>
      <c r="P38" s="72" t="str">
        <f t="shared" si="12"/>
        <v/>
      </c>
      <c r="R38" s="127"/>
      <c r="S38" s="129" t="str">
        <f t="shared" si="13"/>
        <v/>
      </c>
      <c r="T38" s="130" t="str">
        <f t="shared" si="14"/>
        <v/>
      </c>
      <c r="U38" s="72" t="str">
        <f t="shared" si="15"/>
        <v/>
      </c>
      <c r="W38" s="72" t="str">
        <f>IF(X38="","",INDEX(S38:S54, MATCH(X38, T38:T54, 0)))</f>
        <v/>
      </c>
      <c r="X38" s="72"/>
      <c r="Y38" s="72" t="str">
        <f>IF(X38="","",SUMIF(T38:T54, X38, U38:U54))</f>
        <v/>
      </c>
      <c r="AA38" s="176"/>
      <c r="AB38" s="126" t="str">
        <f t="shared" si="18"/>
        <v/>
      </c>
      <c r="AC38" s="176"/>
      <c r="AD38" s="173" t="str">
        <f t="shared" si="19"/>
        <v/>
      </c>
      <c r="AE38" s="176"/>
      <c r="AF38" s="173" t="str">
        <f t="shared" si="20"/>
        <v/>
      </c>
      <c r="AG38" s="176"/>
      <c r="AH38" s="173" t="str">
        <f t="shared" si="21"/>
        <v/>
      </c>
      <c r="AI38" s="176"/>
      <c r="AJ38" s="173" t="str">
        <f t="shared" si="22"/>
        <v/>
      </c>
      <c r="AK38" s="176"/>
      <c r="AL38" s="173" t="str">
        <f t="shared" si="23"/>
        <v/>
      </c>
      <c r="AM38" s="176"/>
      <c r="AN38" s="173" t="str">
        <f t="shared" si="24"/>
        <v/>
      </c>
    </row>
    <row r="39" spans="1:40" ht="17.399999999999999" thickTop="1" thickBot="1" x14ac:dyDescent="0.35">
      <c r="A39" s="119" t="str">
        <f>IF(DATA!A10="","",DATA!A10)</f>
        <v/>
      </c>
      <c r="B39" s="135" t="str">
        <f>IF(DATA!B10="","",DATA!B10)</f>
        <v/>
      </c>
      <c r="C39" s="119" t="str">
        <f>IF(DATA!C10="","",DATA!C10)</f>
        <v/>
      </c>
      <c r="D39" s="136" t="str">
        <f>IF(DATA!D10="","",DATA!D10)</f>
        <v/>
      </c>
      <c r="E39" s="119" t="str">
        <f>IF(DATA!E10="","",DATA!E10)</f>
        <v/>
      </c>
      <c r="F39" s="119" t="str">
        <f>IF(DATA!F10="","",DATA!F10)</f>
        <v/>
      </c>
      <c r="G39" s="119" t="str">
        <f>IF(DATA!G10="","",DATA!G10)</f>
        <v/>
      </c>
      <c r="H39" s="119" t="str">
        <f>IF(DATA!H10="","",DATA!H10)</f>
        <v/>
      </c>
      <c r="L39" s="126"/>
      <c r="M39" s="127"/>
      <c r="N39" s="129" t="str">
        <f t="shared" si="25"/>
        <v/>
      </c>
      <c r="O39" s="130" t="str">
        <f t="shared" si="11"/>
        <v/>
      </c>
      <c r="P39" s="72" t="str">
        <f t="shared" si="12"/>
        <v/>
      </c>
      <c r="Q39" s="126"/>
      <c r="R39" s="127"/>
      <c r="S39" s="129" t="str">
        <f t="shared" si="13"/>
        <v/>
      </c>
      <c r="T39" s="130" t="str">
        <f t="shared" si="14"/>
        <v/>
      </c>
      <c r="U39" s="72" t="str">
        <f t="shared" si="15"/>
        <v/>
      </c>
      <c r="V39" s="126"/>
      <c r="W39" s="72" t="str">
        <f>IF(X39="","",INDEX(S39:S54, MATCH(X39, T39:T54, 0)))</f>
        <v/>
      </c>
      <c r="X39" s="72"/>
      <c r="Y39" s="72" t="str">
        <f>IF(X39="","",SUMIF(T39:T54, X39, U39:U54))</f>
        <v/>
      </c>
      <c r="Z39" s="126"/>
      <c r="AB39" s="126" t="str">
        <f t="shared" si="18"/>
        <v/>
      </c>
      <c r="AD39" s="173" t="str">
        <f t="shared" si="19"/>
        <v/>
      </c>
      <c r="AF39" s="173" t="str">
        <f t="shared" si="20"/>
        <v/>
      </c>
      <c r="AG39" s="126"/>
      <c r="AH39" s="173" t="str">
        <f t="shared" si="21"/>
        <v/>
      </c>
      <c r="AI39" s="126"/>
      <c r="AJ39" s="173" t="str">
        <f t="shared" si="22"/>
        <v/>
      </c>
      <c r="AK39" s="126"/>
      <c r="AL39" s="173" t="str">
        <f t="shared" si="23"/>
        <v/>
      </c>
      <c r="AM39" s="126"/>
      <c r="AN39" s="173" t="str">
        <f t="shared" si="24"/>
        <v/>
      </c>
    </row>
    <row r="40" spans="1:40" ht="17.399999999999999" thickTop="1" thickBot="1" x14ac:dyDescent="0.35">
      <c r="A40" s="119" t="str">
        <f>IF(DATA!A11="","",DATA!A11)</f>
        <v/>
      </c>
      <c r="B40" s="135" t="str">
        <f>IF(DATA!B11="","",DATA!B11)</f>
        <v/>
      </c>
      <c r="C40" s="119" t="str">
        <f>IF(DATA!C11="","",DATA!C11)</f>
        <v/>
      </c>
      <c r="D40" s="136" t="str">
        <f>IF(DATA!D11="","",DATA!D11)</f>
        <v/>
      </c>
      <c r="E40" s="119" t="str">
        <f>IF(DATA!E11="","",DATA!E11)</f>
        <v/>
      </c>
      <c r="F40" s="119" t="str">
        <f>IF(DATA!F11="","",DATA!F11)</f>
        <v/>
      </c>
      <c r="G40" s="119" t="str">
        <f>IF(DATA!G11="","",DATA!G11)</f>
        <v/>
      </c>
      <c r="H40" s="119" t="str">
        <f>IF(DATA!H11="","",DATA!H11)</f>
        <v/>
      </c>
      <c r="L40" s="126"/>
      <c r="M40" s="127"/>
      <c r="N40" s="129" t="str">
        <f t="shared" si="25"/>
        <v/>
      </c>
      <c r="O40" s="130" t="str">
        <f t="shared" si="11"/>
        <v/>
      </c>
      <c r="P40" s="72" t="str">
        <f t="shared" si="12"/>
        <v/>
      </c>
      <c r="Q40" s="126"/>
      <c r="R40" s="127"/>
      <c r="S40" s="129" t="str">
        <f t="shared" si="13"/>
        <v/>
      </c>
      <c r="T40" s="130" t="str">
        <f t="shared" si="14"/>
        <v/>
      </c>
      <c r="U40" s="72" t="str">
        <f t="shared" si="15"/>
        <v/>
      </c>
      <c r="V40" s="126"/>
      <c r="W40" s="72" t="str">
        <f>IF(X40="","",INDEX(S40:S54, MATCH(X40, T40:T54, 0)))</f>
        <v/>
      </c>
      <c r="X40" s="72"/>
      <c r="Y40" s="72" t="str">
        <f>IF(X40="","",SUMIF(T40:T54, X40, U40:U54))</f>
        <v/>
      </c>
      <c r="Z40" s="126"/>
      <c r="AA40" s="168"/>
      <c r="AB40" s="168"/>
      <c r="AC40" s="168"/>
      <c r="AD40" s="168"/>
      <c r="AE40" s="168"/>
      <c r="AF40" s="168"/>
      <c r="AG40" s="169"/>
      <c r="AH40" s="169"/>
      <c r="AI40" s="169"/>
      <c r="AJ40" s="169"/>
      <c r="AK40" s="169"/>
      <c r="AL40" s="169"/>
      <c r="AM40" s="169"/>
    </row>
    <row r="41" spans="1:40" ht="17.399999999999999" thickTop="1" thickBot="1" x14ac:dyDescent="0.35">
      <c r="A41" s="119" t="str">
        <f>IF(DATA!A12="","",DATA!A12)</f>
        <v/>
      </c>
      <c r="B41" s="135" t="str">
        <f>IF(DATA!B12="","",DATA!B12)</f>
        <v/>
      </c>
      <c r="C41" s="119" t="str">
        <f>IF(DATA!C12="","",DATA!C12)</f>
        <v/>
      </c>
      <c r="D41" s="136" t="str">
        <f>IF(DATA!D12="","",DATA!D12)</f>
        <v/>
      </c>
      <c r="E41" s="119" t="str">
        <f>IF(DATA!E12="","",DATA!E12)</f>
        <v/>
      </c>
      <c r="F41" s="119" t="str">
        <f>IF(DATA!F12="","",DATA!F12)</f>
        <v/>
      </c>
      <c r="G41" s="119" t="str">
        <f>IF(DATA!G12="","",DATA!G12)</f>
        <v/>
      </c>
      <c r="H41" s="119" t="str">
        <f>IF(DATA!H12="","",DATA!H12)</f>
        <v/>
      </c>
      <c r="L41" s="126"/>
      <c r="M41" s="127"/>
      <c r="N41" s="129" t="str">
        <f t="shared" si="25"/>
        <v/>
      </c>
      <c r="O41" s="130" t="str">
        <f t="shared" si="11"/>
        <v/>
      </c>
      <c r="P41" s="72" t="str">
        <f t="shared" si="12"/>
        <v/>
      </c>
      <c r="Q41" s="126"/>
      <c r="R41" s="127"/>
      <c r="S41" s="129" t="str">
        <f t="shared" si="13"/>
        <v/>
      </c>
      <c r="T41" s="130" t="str">
        <f t="shared" si="14"/>
        <v/>
      </c>
      <c r="U41" s="72" t="str">
        <f t="shared" si="15"/>
        <v/>
      </c>
      <c r="V41" s="126"/>
      <c r="W41" s="72" t="str">
        <f>IF(X41="","",INDEX(S41:S54, MATCH(X41, T41:T54, 0)))</f>
        <v/>
      </c>
      <c r="X41" s="72"/>
      <c r="Y41" s="72" t="str">
        <f>IF(X41="","",SUMIF(T41:T54, X41, U41:U54))</f>
        <v/>
      </c>
      <c r="AA41" s="174" t="str">
        <f>IF(AB30="","",AB30&amp;" x "&amp;AA30)</f>
        <v/>
      </c>
      <c r="AC41" s="174" t="str">
        <f>IF(AD30="","",AD30&amp;" x "&amp;AC30)</f>
        <v/>
      </c>
      <c r="AE41" s="174" t="str">
        <f>IF(AF30="","",AF30&amp;" x "&amp;AE30)</f>
        <v/>
      </c>
      <c r="AG41" s="174" t="str">
        <f>IF(AH30="","",AH30&amp;" x "&amp;AG30)</f>
        <v/>
      </c>
      <c r="AI41" s="174" t="str">
        <f>IF(AJ30="","",AJ30&amp;" x "&amp;AI30)</f>
        <v/>
      </c>
      <c r="AK41" s="174" t="str">
        <f>IF(AL30="","",AL30&amp;" x "&amp;AK30)</f>
        <v/>
      </c>
      <c r="AM41" s="174" t="str">
        <f>IF(AN30="","",AN30&amp;" x "&amp;AM30)</f>
        <v/>
      </c>
    </row>
    <row r="42" spans="1:40" ht="17.399999999999999" thickTop="1" thickBot="1" x14ac:dyDescent="0.35">
      <c r="A42" s="119" t="str">
        <f>IF(DATA!A13="","",DATA!A13)</f>
        <v/>
      </c>
      <c r="B42" s="135" t="str">
        <f>IF(DATA!B13="","",DATA!B13)</f>
        <v/>
      </c>
      <c r="C42" s="119" t="str">
        <f>IF(DATA!C13="","",DATA!C13)</f>
        <v/>
      </c>
      <c r="D42" s="136" t="str">
        <f>IF(DATA!D13="","",DATA!D13)</f>
        <v/>
      </c>
      <c r="E42" s="119" t="str">
        <f>IF(DATA!E13="","",DATA!E13)</f>
        <v/>
      </c>
      <c r="F42" s="119" t="str">
        <f>IF(DATA!F13="","",DATA!F13)</f>
        <v/>
      </c>
      <c r="G42" s="119" t="str">
        <f>IF(DATA!G13="","",DATA!G13)</f>
        <v/>
      </c>
      <c r="H42" s="119" t="str">
        <f>IF(DATA!H13="","",DATA!H13)</f>
        <v/>
      </c>
      <c r="L42" s="126"/>
      <c r="M42" s="127"/>
      <c r="N42" s="129" t="str">
        <f t="shared" si="25"/>
        <v/>
      </c>
      <c r="O42" s="130" t="str">
        <f t="shared" si="11"/>
        <v/>
      </c>
      <c r="P42" s="72" t="str">
        <f t="shared" si="12"/>
        <v/>
      </c>
      <c r="Q42" s="126"/>
      <c r="R42" s="127"/>
      <c r="S42" s="129" t="str">
        <f t="shared" si="13"/>
        <v/>
      </c>
      <c r="T42" s="130" t="str">
        <f t="shared" si="14"/>
        <v/>
      </c>
      <c r="U42" s="72" t="str">
        <f t="shared" si="15"/>
        <v/>
      </c>
      <c r="V42" s="126"/>
      <c r="W42" s="72" t="str">
        <f>IF(X42="","",INDEX(S42:S54, MATCH(X42, T42:T54, 0)))</f>
        <v/>
      </c>
      <c r="X42" s="72"/>
      <c r="Y42" s="72" t="str">
        <f>IF(X42="","",SUMIF(T42:T54, X42, U42:U54))</f>
        <v/>
      </c>
      <c r="AA42" s="175" t="str">
        <f t="shared" ref="AA42:AC49" si="26">IF(AB31="","",AB31&amp;" x "&amp;AA31)</f>
        <v/>
      </c>
      <c r="AC42" s="175" t="str">
        <f t="shared" si="26"/>
        <v/>
      </c>
      <c r="AE42" s="175" t="str">
        <f t="shared" ref="AE42" si="27">IF(AF31="","",AF31&amp;" x "&amp;AE31)</f>
        <v/>
      </c>
      <c r="AG42" s="175" t="str">
        <f t="shared" ref="AG42" si="28">IF(AH31="","",AH31&amp;" x "&amp;AG31)</f>
        <v/>
      </c>
      <c r="AI42" s="175" t="str">
        <f t="shared" ref="AI42" si="29">IF(AJ31="","",AJ31&amp;" x "&amp;AI31)</f>
        <v/>
      </c>
      <c r="AK42" s="175" t="str">
        <f t="shared" ref="AK42" si="30">IF(AL31="","",AL31&amp;" x "&amp;AK31)</f>
        <v/>
      </c>
      <c r="AM42" s="175" t="str">
        <f t="shared" ref="AM42" si="31">IF(AN31="","",AN31&amp;" x "&amp;AM31)</f>
        <v/>
      </c>
    </row>
    <row r="43" spans="1:40" ht="17.399999999999999" thickTop="1" thickBot="1" x14ac:dyDescent="0.35">
      <c r="A43" s="119" t="str">
        <f>IF(DATA!A14="","",DATA!A14)</f>
        <v/>
      </c>
      <c r="B43" s="135" t="str">
        <f>IF(DATA!B14="","",DATA!B14)</f>
        <v/>
      </c>
      <c r="C43" s="119" t="str">
        <f>IF(DATA!C14="","",DATA!C14)</f>
        <v/>
      </c>
      <c r="D43" s="136" t="str">
        <f>IF(DATA!D14="","",DATA!D14)</f>
        <v/>
      </c>
      <c r="E43" s="119" t="str">
        <f>IF(DATA!E14="","",DATA!E14)</f>
        <v/>
      </c>
      <c r="F43" s="119" t="str">
        <f>IF(DATA!F14="","",DATA!F14)</f>
        <v/>
      </c>
      <c r="G43" s="119" t="str">
        <f>IF(DATA!G14="","",DATA!G14)</f>
        <v/>
      </c>
      <c r="H43" s="119" t="str">
        <f>IF(DATA!H14="","",DATA!H14)</f>
        <v/>
      </c>
      <c r="N43" s="129" t="str">
        <f t="shared" si="25"/>
        <v/>
      </c>
      <c r="O43" s="130" t="str">
        <f t="shared" si="11"/>
        <v/>
      </c>
      <c r="P43" s="72" t="str">
        <f t="shared" si="12"/>
        <v/>
      </c>
      <c r="Q43" s="5"/>
      <c r="R43" s="127"/>
      <c r="S43" s="129" t="str">
        <f t="shared" si="13"/>
        <v/>
      </c>
      <c r="T43" s="130" t="str">
        <f t="shared" si="14"/>
        <v/>
      </c>
      <c r="U43" s="72" t="str">
        <f t="shared" si="15"/>
        <v/>
      </c>
      <c r="W43" s="74" t="str">
        <f>IF(X43="","",INDEX(S43:S54, MATCH(X43, T43:T54, 0)))</f>
        <v/>
      </c>
      <c r="X43" s="74"/>
      <c r="Y43" s="12" t="str">
        <f>IF(X43="","",SUMIF(T43:T54, X43, U43:U54))</f>
        <v/>
      </c>
      <c r="AA43" s="175" t="str">
        <f t="shared" si="26"/>
        <v/>
      </c>
      <c r="AC43" s="175" t="str">
        <f t="shared" si="26"/>
        <v/>
      </c>
      <c r="AE43" s="175" t="str">
        <f t="shared" ref="AE43" si="32">IF(AF32="","",AF32&amp;" x "&amp;AE32)</f>
        <v/>
      </c>
      <c r="AG43" s="175" t="str">
        <f t="shared" ref="AG43" si="33">IF(AH32="","",AH32&amp;" x "&amp;AG32)</f>
        <v/>
      </c>
      <c r="AI43" s="175" t="str">
        <f t="shared" ref="AI43" si="34">IF(AJ32="","",AJ32&amp;" x "&amp;AI32)</f>
        <v/>
      </c>
      <c r="AK43" s="175" t="str">
        <f t="shared" ref="AK43" si="35">IF(AL32="","",AL32&amp;" x "&amp;AK32)</f>
        <v/>
      </c>
      <c r="AM43" s="175" t="str">
        <f t="shared" ref="AM43" si="36">IF(AN32="","",AN32&amp;" x "&amp;AM32)</f>
        <v/>
      </c>
    </row>
    <row r="44" spans="1:40" ht="17.399999999999999" thickTop="1" thickBot="1" x14ac:dyDescent="0.35">
      <c r="A44" s="119" t="str">
        <f>IF(DATA!A15="","",DATA!A15)</f>
        <v/>
      </c>
      <c r="B44" s="135" t="str">
        <f>IF(DATA!B15="","",DATA!B15)</f>
        <v/>
      </c>
      <c r="C44" s="119" t="str">
        <f>IF(DATA!C15="","",DATA!C15)</f>
        <v/>
      </c>
      <c r="D44" s="136" t="str">
        <f>IF(DATA!D15="","",DATA!D15)</f>
        <v/>
      </c>
      <c r="E44" s="119" t="str">
        <f>IF(DATA!E15="","",DATA!E15)</f>
        <v/>
      </c>
      <c r="F44" s="119" t="str">
        <f>IF(DATA!F15="","",DATA!F15)</f>
        <v/>
      </c>
      <c r="G44" s="119" t="str">
        <f>IF(DATA!G15="","",DATA!G15)</f>
        <v/>
      </c>
      <c r="H44" s="119" t="str">
        <f>IF(DATA!H15="","",DATA!H15)</f>
        <v/>
      </c>
      <c r="N44" s="129" t="str">
        <f t="shared" si="25"/>
        <v/>
      </c>
      <c r="O44" s="130" t="str">
        <f t="shared" si="11"/>
        <v/>
      </c>
      <c r="P44" s="72" t="str">
        <f t="shared" si="12"/>
        <v/>
      </c>
      <c r="Q44" s="5"/>
      <c r="R44" s="127"/>
      <c r="S44" s="129" t="str">
        <f t="shared" si="13"/>
        <v/>
      </c>
      <c r="T44" s="130" t="str">
        <f t="shared" si="14"/>
        <v/>
      </c>
      <c r="U44" s="72" t="str">
        <f t="shared" si="15"/>
        <v/>
      </c>
      <c r="W44" s="74" t="str">
        <f>IF(X44="","",INDEX(S44:S54, MATCH(X44, T44:T54, 0)))</f>
        <v/>
      </c>
      <c r="X44" s="74"/>
      <c r="Y44" s="12" t="str">
        <f>IF(X44="","",SUMIF(T44:T54, X44, U44:U54))</f>
        <v/>
      </c>
      <c r="AA44" s="175" t="str">
        <f t="shared" si="26"/>
        <v/>
      </c>
      <c r="AC44" s="175" t="str">
        <f t="shared" si="26"/>
        <v/>
      </c>
      <c r="AE44" s="175" t="str">
        <f t="shared" ref="AE44" si="37">IF(AF33="","",AF33&amp;" x "&amp;AE33)</f>
        <v/>
      </c>
      <c r="AG44" s="175" t="str">
        <f t="shared" ref="AG44" si="38">IF(AH33="","",AH33&amp;" x "&amp;AG33)</f>
        <v/>
      </c>
      <c r="AI44" s="175" t="str">
        <f t="shared" ref="AI44" si="39">IF(AJ33="","",AJ33&amp;" x "&amp;AI33)</f>
        <v/>
      </c>
      <c r="AK44" s="175" t="str">
        <f t="shared" ref="AK44" si="40">IF(AL33="","",AL33&amp;" x "&amp;AK33)</f>
        <v/>
      </c>
      <c r="AM44" s="175" t="str">
        <f t="shared" ref="AM44" si="41">IF(AN33="","",AN33&amp;" x "&amp;AM33)</f>
        <v/>
      </c>
    </row>
    <row r="45" spans="1:40" ht="17.399999999999999" thickTop="1" thickBot="1" x14ac:dyDescent="0.35">
      <c r="A45" s="119" t="str">
        <f>IF(DATA!A16="","",DATA!A16)</f>
        <v/>
      </c>
      <c r="B45" s="135" t="str">
        <f>IF(DATA!B16="","",DATA!B16)</f>
        <v/>
      </c>
      <c r="C45" s="119" t="str">
        <f>IF(DATA!C16="","",DATA!C16)</f>
        <v/>
      </c>
      <c r="D45" s="136" t="str">
        <f>IF(DATA!D16="","",DATA!D16)</f>
        <v/>
      </c>
      <c r="E45" s="119" t="str">
        <f>IF(DATA!E16="","",DATA!E16)</f>
        <v/>
      </c>
      <c r="F45" s="119" t="str">
        <f>IF(DATA!F16="","",DATA!F16)</f>
        <v/>
      </c>
      <c r="G45" s="119" t="str">
        <f>IF(DATA!G16="","",DATA!G16)</f>
        <v/>
      </c>
      <c r="H45" s="119" t="str">
        <f>IF(DATA!H16="","",DATA!H16)</f>
        <v/>
      </c>
      <c r="N45" s="129" t="str">
        <f t="shared" si="25"/>
        <v/>
      </c>
      <c r="O45" s="130" t="str">
        <f t="shared" si="11"/>
        <v/>
      </c>
      <c r="P45" s="72" t="str">
        <f t="shared" si="12"/>
        <v/>
      </c>
      <c r="Q45" s="5"/>
      <c r="R45" s="127"/>
      <c r="S45" s="129" t="str">
        <f t="shared" si="13"/>
        <v/>
      </c>
      <c r="T45" s="130" t="str">
        <f t="shared" si="14"/>
        <v/>
      </c>
      <c r="U45" s="72" t="str">
        <f t="shared" si="15"/>
        <v/>
      </c>
      <c r="W45" s="74" t="str">
        <f>IF(X45="","",INDEX(S45:S54, MATCH(X45, T45:T54, 0)))</f>
        <v/>
      </c>
      <c r="X45" s="74"/>
      <c r="Y45" s="12" t="str">
        <f>IF(X45="","",SUMIF(T45:T54, X45, U45:U54))</f>
        <v/>
      </c>
      <c r="AA45" s="175" t="str">
        <f t="shared" si="26"/>
        <v/>
      </c>
      <c r="AC45" s="175" t="str">
        <f t="shared" si="26"/>
        <v/>
      </c>
      <c r="AE45" s="175" t="str">
        <f t="shared" ref="AE45" si="42">IF(AF34="","",AF34&amp;" x "&amp;AE34)</f>
        <v/>
      </c>
      <c r="AG45" s="175" t="str">
        <f t="shared" ref="AG45" si="43">IF(AH34="","",AH34&amp;" x "&amp;AG34)</f>
        <v/>
      </c>
      <c r="AI45" s="175" t="str">
        <f t="shared" ref="AI45" si="44">IF(AJ34="","",AJ34&amp;" x "&amp;AI34)</f>
        <v/>
      </c>
      <c r="AK45" s="175" t="str">
        <f t="shared" ref="AK45" si="45">IF(AL34="","",AL34&amp;" x "&amp;AK34)</f>
        <v/>
      </c>
      <c r="AM45" s="175" t="str">
        <f t="shared" ref="AM45" si="46">IF(AN34="","",AN34&amp;" x "&amp;AM34)</f>
        <v/>
      </c>
    </row>
    <row r="46" spans="1:40" ht="17.399999999999999" thickTop="1" thickBot="1" x14ac:dyDescent="0.35">
      <c r="A46" s="119" t="str">
        <f>IF(DATA!A17="","",DATA!A17)</f>
        <v/>
      </c>
      <c r="B46" s="135" t="str">
        <f>IF(DATA!B17="","",DATA!B17)</f>
        <v/>
      </c>
      <c r="C46" s="119" t="str">
        <f>IF(DATA!C17="","",DATA!C17)</f>
        <v/>
      </c>
      <c r="D46" s="136" t="str">
        <f>IF(DATA!D17="","",DATA!D17)</f>
        <v/>
      </c>
      <c r="E46" s="119" t="str">
        <f>IF(DATA!E17="","",DATA!E17)</f>
        <v/>
      </c>
      <c r="F46" s="119" t="str">
        <f>IF(DATA!F17="","",DATA!F17)</f>
        <v/>
      </c>
      <c r="G46" s="119" t="str">
        <f>IF(DATA!G17="","",DATA!G17)</f>
        <v/>
      </c>
      <c r="H46" s="119" t="str">
        <f>IF(DATA!H17="","",DATA!H17)</f>
        <v/>
      </c>
      <c r="N46" s="129" t="str">
        <f t="shared" si="25"/>
        <v/>
      </c>
      <c r="O46" s="130" t="str">
        <f t="shared" si="11"/>
        <v/>
      </c>
      <c r="P46" s="72" t="str">
        <f t="shared" si="12"/>
        <v/>
      </c>
      <c r="Q46" s="5"/>
      <c r="R46" s="127"/>
      <c r="S46" s="129" t="str">
        <f t="shared" si="13"/>
        <v/>
      </c>
      <c r="T46" s="130" t="str">
        <f t="shared" si="14"/>
        <v/>
      </c>
      <c r="U46" s="72" t="str">
        <f t="shared" si="15"/>
        <v/>
      </c>
      <c r="W46" s="74" t="str">
        <f>IF(X46="","",INDEX(S46:S54, MATCH(X46, T46:T54, 0)))</f>
        <v/>
      </c>
      <c r="X46" s="74"/>
      <c r="Y46" s="12" t="str">
        <f>IF(X46="","",SUMIF(T46:T54, X46, U46:U54))</f>
        <v/>
      </c>
      <c r="AA46" s="175" t="str">
        <f t="shared" si="26"/>
        <v/>
      </c>
      <c r="AC46" s="175" t="str">
        <f t="shared" si="26"/>
        <v/>
      </c>
      <c r="AE46" s="175" t="str">
        <f t="shared" ref="AE46" si="47">IF(AF35="","",AF35&amp;" x "&amp;AE35)</f>
        <v/>
      </c>
      <c r="AG46" s="175" t="str">
        <f t="shared" ref="AG46" si="48">IF(AH35="","",AH35&amp;" x "&amp;AG35)</f>
        <v/>
      </c>
      <c r="AI46" s="175" t="str">
        <f t="shared" ref="AI46" si="49">IF(AJ35="","",AJ35&amp;" x "&amp;AI35)</f>
        <v/>
      </c>
      <c r="AK46" s="175" t="str">
        <f t="shared" ref="AK46" si="50">IF(AL35="","",AL35&amp;" x "&amp;AK35)</f>
        <v/>
      </c>
      <c r="AM46" s="175" t="str">
        <f t="shared" ref="AM46" si="51">IF(AN35="","",AN35&amp;" x "&amp;AM35)</f>
        <v/>
      </c>
    </row>
    <row r="47" spans="1:40" ht="17.399999999999999" thickTop="1" thickBot="1" x14ac:dyDescent="0.35">
      <c r="A47" s="119" t="str">
        <f>IF(DATA!A18="","",DATA!A18)</f>
        <v/>
      </c>
      <c r="B47" s="135" t="str">
        <f>IF(DATA!B18="","",DATA!B18)</f>
        <v/>
      </c>
      <c r="C47" s="119" t="str">
        <f>IF(DATA!C18="","",DATA!C18)</f>
        <v/>
      </c>
      <c r="D47" s="136" t="str">
        <f>IF(DATA!D18="","",DATA!D18)</f>
        <v/>
      </c>
      <c r="E47" s="119" t="str">
        <f>IF(DATA!E18="","",DATA!E18)</f>
        <v/>
      </c>
      <c r="F47" s="119" t="str">
        <f>IF(DATA!F18="","",DATA!F18)</f>
        <v/>
      </c>
      <c r="G47" s="119" t="str">
        <f>IF(DATA!G18="","",DATA!G18)</f>
        <v/>
      </c>
      <c r="H47" s="119" t="str">
        <f>IF(DATA!H18="","",DATA!H18)</f>
        <v/>
      </c>
      <c r="N47" s="129" t="str">
        <f t="shared" si="25"/>
        <v/>
      </c>
      <c r="O47" s="130" t="str">
        <f t="shared" si="11"/>
        <v/>
      </c>
      <c r="P47" s="72" t="str">
        <f t="shared" si="12"/>
        <v/>
      </c>
      <c r="Q47" s="5"/>
      <c r="R47" s="127"/>
      <c r="S47" s="129" t="str">
        <f t="shared" si="13"/>
        <v/>
      </c>
      <c r="T47" s="130" t="str">
        <f t="shared" si="14"/>
        <v/>
      </c>
      <c r="U47" s="72" t="str">
        <f t="shared" si="15"/>
        <v/>
      </c>
      <c r="W47" s="74" t="str">
        <f>IF(X47="","",INDEX(S47:S54, MATCH(X47, T47:T54, 0)))</f>
        <v/>
      </c>
      <c r="X47" s="74"/>
      <c r="Y47" s="12" t="str">
        <f>IF(X47="","",SUMIF(T47:T54, X47, U47:U54))</f>
        <v/>
      </c>
      <c r="AA47" s="175" t="str">
        <f t="shared" si="26"/>
        <v/>
      </c>
      <c r="AC47" s="175" t="str">
        <f t="shared" si="26"/>
        <v/>
      </c>
      <c r="AE47" s="175" t="str">
        <f t="shared" ref="AE47" si="52">IF(AF36="","",AF36&amp;" x "&amp;AE36)</f>
        <v/>
      </c>
      <c r="AG47" s="175" t="str">
        <f t="shared" ref="AG47" si="53">IF(AH36="","",AH36&amp;" x "&amp;AG36)</f>
        <v/>
      </c>
      <c r="AI47" s="175" t="str">
        <f t="shared" ref="AI47" si="54">IF(AJ36="","",AJ36&amp;" x "&amp;AI36)</f>
        <v/>
      </c>
      <c r="AK47" s="175" t="str">
        <f t="shared" ref="AK47" si="55">IF(AL36="","",AL36&amp;" x "&amp;AK36)</f>
        <v/>
      </c>
      <c r="AM47" s="175" t="str">
        <f t="shared" ref="AM47" si="56">IF(AN36="","",AN36&amp;" x "&amp;AM36)</f>
        <v/>
      </c>
    </row>
    <row r="48" spans="1:40" ht="17.399999999999999" thickTop="1" thickBot="1" x14ac:dyDescent="0.35">
      <c r="A48" s="119" t="str">
        <f>IF(DATA!A19="","",DATA!A19)</f>
        <v/>
      </c>
      <c r="B48" s="135" t="str">
        <f>IF(DATA!B19="","",DATA!B19)</f>
        <v/>
      </c>
      <c r="C48" s="119" t="str">
        <f>IF(DATA!C19="","",DATA!C19)</f>
        <v/>
      </c>
      <c r="D48" s="136" t="str">
        <f>IF(DATA!D19="","",DATA!D19)</f>
        <v/>
      </c>
      <c r="E48" s="119" t="str">
        <f>IF(DATA!E19="","",DATA!E19)</f>
        <v/>
      </c>
      <c r="F48" s="119" t="str">
        <f>IF(DATA!F19="","",DATA!F19)</f>
        <v/>
      </c>
      <c r="G48" s="119" t="str">
        <f>IF(DATA!G19="","",DATA!G19)</f>
        <v/>
      </c>
      <c r="H48" s="119" t="str">
        <f>IF(DATA!H19="","",DATA!H19)</f>
        <v/>
      </c>
      <c r="N48" s="129" t="str">
        <f t="shared" si="25"/>
        <v/>
      </c>
      <c r="O48" s="130" t="str">
        <f t="shared" si="11"/>
        <v/>
      </c>
      <c r="P48" s="72" t="str">
        <f t="shared" si="12"/>
        <v/>
      </c>
      <c r="Q48" s="5"/>
      <c r="R48" s="127"/>
      <c r="S48" s="129" t="str">
        <f t="shared" si="13"/>
        <v/>
      </c>
      <c r="T48" s="130" t="str">
        <f t="shared" si="14"/>
        <v/>
      </c>
      <c r="U48" s="72" t="str">
        <f t="shared" si="15"/>
        <v/>
      </c>
      <c r="W48" s="74" t="str">
        <f>IF(X48="","",INDEX(S48:S54, MATCH(X48, T48:T54, 0)))</f>
        <v/>
      </c>
      <c r="X48" s="74"/>
      <c r="Y48" s="12" t="str">
        <f>IF(X48="","",SUMIF(T48:T54, X48, U48:U54))</f>
        <v/>
      </c>
      <c r="AA48" s="175" t="str">
        <f t="shared" si="26"/>
        <v/>
      </c>
      <c r="AC48" s="175" t="str">
        <f t="shared" si="26"/>
        <v/>
      </c>
      <c r="AE48" s="175" t="str">
        <f t="shared" ref="AE48" si="57">IF(AF37="","",AF37&amp;" x "&amp;AE37)</f>
        <v/>
      </c>
      <c r="AG48" s="175" t="str">
        <f t="shared" ref="AG48" si="58">IF(AH37="","",AH37&amp;" x "&amp;AG37)</f>
        <v/>
      </c>
      <c r="AI48" s="175" t="str">
        <f t="shared" ref="AI48" si="59">IF(AJ37="","",AJ37&amp;" x "&amp;AI37)</f>
        <v/>
      </c>
      <c r="AK48" s="175" t="str">
        <f t="shared" ref="AK48" si="60">IF(AL37="","",AL37&amp;" x "&amp;AK37)</f>
        <v/>
      </c>
      <c r="AM48" s="175" t="str">
        <f t="shared" ref="AM48" si="61">IF(AN37="","",AN37&amp;" x "&amp;AM37)</f>
        <v/>
      </c>
    </row>
    <row r="49" spans="1:39" ht="17.399999999999999" thickTop="1" thickBot="1" x14ac:dyDescent="0.35">
      <c r="A49" s="119" t="str">
        <f>IF(DATA!A20="","",DATA!A20)</f>
        <v/>
      </c>
      <c r="B49" s="135" t="str">
        <f>IF(DATA!B20="","",DATA!B20)</f>
        <v/>
      </c>
      <c r="C49" s="119" t="str">
        <f>IF(DATA!C20="","",DATA!C20)</f>
        <v/>
      </c>
      <c r="D49" s="136" t="str">
        <f>IF(DATA!D20="","",DATA!D20)</f>
        <v/>
      </c>
      <c r="E49" s="119" t="str">
        <f>IF(DATA!E20="","",DATA!E20)</f>
        <v/>
      </c>
      <c r="F49" s="119" t="str">
        <f>IF(DATA!F20="","",DATA!F20)</f>
        <v/>
      </c>
      <c r="G49" s="119" t="str">
        <f>IF(DATA!G20="","",DATA!G20)</f>
        <v/>
      </c>
      <c r="H49" s="119" t="str">
        <f>IF(DATA!H20="","",DATA!H20)</f>
        <v/>
      </c>
      <c r="N49" s="129" t="str">
        <f t="shared" si="25"/>
        <v/>
      </c>
      <c r="O49" s="130" t="str">
        <f t="shared" si="11"/>
        <v/>
      </c>
      <c r="P49" s="72" t="str">
        <f t="shared" si="12"/>
        <v/>
      </c>
      <c r="Q49" s="5"/>
      <c r="R49" s="127"/>
      <c r="S49" s="129" t="str">
        <f t="shared" si="13"/>
        <v/>
      </c>
      <c r="T49" s="130" t="str">
        <f t="shared" si="14"/>
        <v/>
      </c>
      <c r="U49" s="72" t="str">
        <f t="shared" si="15"/>
        <v/>
      </c>
      <c r="W49" s="74" t="str">
        <f>IF(X49="","",INDEX(S49:S54, MATCH(X49, T49:T54, 0)))</f>
        <v/>
      </c>
      <c r="X49" s="74"/>
      <c r="Y49" s="12" t="str">
        <f>IF(X49="","",SUMIF(T49:T54, X49, U49:U54))</f>
        <v/>
      </c>
      <c r="AA49" s="176" t="str">
        <f t="shared" si="26"/>
        <v/>
      </c>
      <c r="AC49" s="176" t="str">
        <f t="shared" si="26"/>
        <v/>
      </c>
      <c r="AE49" s="176" t="str">
        <f t="shared" ref="AE49" si="62">IF(AF38="","",AF38&amp;" x "&amp;AE38)</f>
        <v/>
      </c>
      <c r="AG49" s="176" t="str">
        <f t="shared" ref="AG49" si="63">IF(AH38="","",AH38&amp;" x "&amp;AG38)</f>
        <v/>
      </c>
      <c r="AI49" s="176" t="str">
        <f t="shared" ref="AI49" si="64">IF(AJ38="","",AJ38&amp;" x "&amp;AI38)</f>
        <v/>
      </c>
      <c r="AK49" s="176" t="str">
        <f t="shared" ref="AK49" si="65">IF(AL38="","",AL38&amp;" x "&amp;AK38)</f>
        <v/>
      </c>
      <c r="AM49" s="176" t="str">
        <f t="shared" ref="AM49" si="66">IF(AN38="","",AN38&amp;" x "&amp;AM38)</f>
        <v/>
      </c>
    </row>
    <row r="50" spans="1:39" ht="17.399999999999999" thickTop="1" thickBot="1" x14ac:dyDescent="0.35">
      <c r="A50" s="119" t="str">
        <f>IF(DATA!A21="","",DATA!A21)</f>
        <v/>
      </c>
      <c r="B50" s="135" t="str">
        <f>IF(DATA!B21="","",DATA!B21)</f>
        <v/>
      </c>
      <c r="C50" s="119" t="str">
        <f>IF(DATA!C21="","",DATA!C21)</f>
        <v/>
      </c>
      <c r="D50" s="136" t="str">
        <f>IF(DATA!D21="","",DATA!D21)</f>
        <v/>
      </c>
      <c r="E50" s="119" t="str">
        <f>IF(DATA!E21="","",DATA!E21)</f>
        <v/>
      </c>
      <c r="F50" s="119" t="str">
        <f>IF(DATA!F21="","",DATA!F21)</f>
        <v/>
      </c>
      <c r="G50" s="119" t="str">
        <f>IF(DATA!G21="","",DATA!G21)</f>
        <v/>
      </c>
      <c r="H50" s="119" t="str">
        <f>IF(DATA!H21="","",DATA!H21)</f>
        <v/>
      </c>
      <c r="N50" s="129" t="str">
        <f t="shared" si="25"/>
        <v/>
      </c>
      <c r="O50" s="130" t="str">
        <f t="shared" si="11"/>
        <v/>
      </c>
      <c r="P50" s="72" t="str">
        <f t="shared" si="12"/>
        <v/>
      </c>
      <c r="R50" s="127"/>
      <c r="S50" s="129" t="str">
        <f t="shared" si="13"/>
        <v/>
      </c>
      <c r="T50" s="130" t="str">
        <f t="shared" si="14"/>
        <v/>
      </c>
      <c r="U50" s="72" t="str">
        <f t="shared" si="15"/>
        <v/>
      </c>
    </row>
    <row r="51" spans="1:39" ht="17.399999999999999" thickTop="1" thickBot="1" x14ac:dyDescent="0.35">
      <c r="A51" s="119" t="str">
        <f>IF(DATA!A22="","",DATA!A22)</f>
        <v/>
      </c>
      <c r="B51" s="135" t="str">
        <f>IF(DATA!B22="","",DATA!B22)</f>
        <v/>
      </c>
      <c r="C51" s="119" t="str">
        <f>IF(DATA!C22="","",DATA!C22)</f>
        <v/>
      </c>
      <c r="D51" s="136" t="str">
        <f>IF(DATA!D22="","",DATA!D22)</f>
        <v/>
      </c>
      <c r="E51" s="119" t="str">
        <f>IF(DATA!E22="","",DATA!E22)</f>
        <v/>
      </c>
      <c r="F51" s="119" t="str">
        <f>IF(DATA!F22="","",DATA!F22)</f>
        <v/>
      </c>
      <c r="G51" s="119" t="str">
        <f>IF(DATA!G22="","",DATA!G22)</f>
        <v/>
      </c>
      <c r="H51" s="119" t="str">
        <f>IF(DATA!H22="","",DATA!H22)</f>
        <v/>
      </c>
      <c r="N51" s="129" t="str">
        <f t="shared" si="25"/>
        <v/>
      </c>
      <c r="O51" s="130" t="str">
        <f t="shared" si="11"/>
        <v/>
      </c>
      <c r="P51" s="72" t="str">
        <f t="shared" si="12"/>
        <v/>
      </c>
      <c r="R51" s="127"/>
      <c r="S51" s="129" t="str">
        <f t="shared" si="13"/>
        <v/>
      </c>
      <c r="T51" s="130" t="str">
        <f t="shared" si="14"/>
        <v/>
      </c>
      <c r="U51" s="72" t="str">
        <f t="shared" si="15"/>
        <v/>
      </c>
    </row>
    <row r="52" spans="1:39" ht="17.399999999999999" thickTop="1" thickBot="1" x14ac:dyDescent="0.35">
      <c r="A52" s="119" t="str">
        <f>IF(DATA!A23="","",DATA!A23)</f>
        <v/>
      </c>
      <c r="B52" s="135" t="str">
        <f>IF(DATA!B23="","",DATA!B23)</f>
        <v/>
      </c>
      <c r="C52" s="119" t="str">
        <f>IF(DATA!C23="","",DATA!C23)</f>
        <v/>
      </c>
      <c r="D52" s="136" t="str">
        <f>IF(DATA!D23="","",DATA!D23)</f>
        <v/>
      </c>
      <c r="E52" s="119" t="str">
        <f>IF(DATA!E23="","",DATA!E23)</f>
        <v/>
      </c>
      <c r="F52" s="119" t="str">
        <f>IF(DATA!F23="","",DATA!F23)</f>
        <v/>
      </c>
      <c r="G52" s="119" t="str">
        <f>IF(DATA!G23="","",DATA!G23)</f>
        <v/>
      </c>
      <c r="H52" s="119" t="str">
        <f>IF(DATA!H23="","",DATA!H23)</f>
        <v/>
      </c>
      <c r="N52" s="129" t="str">
        <f t="shared" si="25"/>
        <v/>
      </c>
      <c r="O52" s="130" t="str">
        <f t="shared" si="11"/>
        <v/>
      </c>
      <c r="P52" s="72" t="str">
        <f t="shared" si="12"/>
        <v/>
      </c>
      <c r="R52" s="127"/>
      <c r="S52" s="129" t="str">
        <f t="shared" si="13"/>
        <v/>
      </c>
      <c r="T52" s="130" t="str">
        <f t="shared" si="14"/>
        <v/>
      </c>
      <c r="U52" s="72" t="str">
        <f t="shared" si="15"/>
        <v/>
      </c>
    </row>
    <row r="53" spans="1:39" ht="16.8" thickTop="1" x14ac:dyDescent="0.3">
      <c r="A53" s="119" t="str">
        <f>IF(DATA!A24="","",DATA!A24)</f>
        <v/>
      </c>
      <c r="B53" s="135" t="str">
        <f>IF(DATA!B24="","",DATA!B24)</f>
        <v/>
      </c>
      <c r="C53" s="119" t="str">
        <f>IF(DATA!C24="","",DATA!C24)</f>
        <v/>
      </c>
      <c r="D53" s="136" t="str">
        <f>IF(DATA!D24="","",DATA!D24)</f>
        <v/>
      </c>
      <c r="E53" s="119" t="str">
        <f>IF(DATA!E24="","",DATA!E24)</f>
        <v/>
      </c>
      <c r="F53" s="119" t="str">
        <f>IF(DATA!F24="","",DATA!F24)</f>
        <v/>
      </c>
      <c r="G53" s="119" t="str">
        <f>IF(DATA!G24="","",DATA!G24)</f>
        <v/>
      </c>
      <c r="H53" s="119" t="str">
        <f>IF(DATA!H24="","",DATA!H24)</f>
        <v/>
      </c>
      <c r="N53" s="129" t="str">
        <f t="shared" si="25"/>
        <v/>
      </c>
      <c r="O53" s="130" t="str">
        <f t="shared" si="11"/>
        <v/>
      </c>
      <c r="P53" s="72" t="str">
        <f t="shared" si="12"/>
        <v/>
      </c>
      <c r="R53" s="127"/>
      <c r="S53" s="129" t="str">
        <f t="shared" si="13"/>
        <v/>
      </c>
      <c r="T53" s="130" t="str">
        <f t="shared" si="14"/>
        <v/>
      </c>
      <c r="U53" s="72" t="str">
        <f t="shared" si="15"/>
        <v/>
      </c>
    </row>
    <row r="54" spans="1:39" ht="31.2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64" spans="1:39" ht="18" thickBot="1" x14ac:dyDescent="0.35">
      <c r="B64" s="121" t="s">
        <v>94</v>
      </c>
      <c r="C64" s="121" t="s">
        <v>95</v>
      </c>
      <c r="D64" s="121" t="s">
        <v>96</v>
      </c>
      <c r="E64" s="121" t="s">
        <v>97</v>
      </c>
      <c r="F64" s="120" t="s">
        <v>98</v>
      </c>
      <c r="G64" s="120" t="s">
        <v>99</v>
      </c>
      <c r="H64" s="120" t="s">
        <v>30</v>
      </c>
    </row>
    <row r="65" spans="2:8" ht="16.8" thickTop="1" x14ac:dyDescent="0.3">
      <c r="B65" s="135">
        <f>IF(DATA!B36="","",DATA!B36)</f>
        <v>0</v>
      </c>
      <c r="C65" s="119" t="str">
        <f>IF(DATA!C36="","",DATA!C36)</f>
        <v>19xx</v>
      </c>
      <c r="D65" s="136">
        <f>IF(DATA!D36="","",DATA!D36)</f>
        <v>0</v>
      </c>
      <c r="E65" s="119">
        <f>IF(DATA!E36="","",DATA!E36)</f>
        <v>0</v>
      </c>
      <c r="F65" s="119">
        <f>IF(DATA!F36="","",DATA!F36)</f>
        <v>0</v>
      </c>
      <c r="G65" s="119">
        <f>IF(DATA!G36="","",DATA!G36)</f>
        <v>0</v>
      </c>
      <c r="H65" s="119">
        <f>IF(DATA!H36="","",DATA!H36)</f>
        <v>0</v>
      </c>
    </row>
    <row r="66" spans="2:8" x14ac:dyDescent="0.3">
      <c r="B66" s="135">
        <f>IF(DATA!B37="","",DATA!B37)</f>
        <v>0</v>
      </c>
      <c r="C66" s="119" t="str">
        <f>IF(DATA!C37="","",DATA!C37)</f>
        <v>ZQ6xx</v>
      </c>
      <c r="D66" s="136">
        <f>IF(DATA!D37="","",DATA!D37)</f>
        <v>0</v>
      </c>
      <c r="E66" s="119">
        <f>IF(DATA!E37="","",DATA!E37)</f>
        <v>0</v>
      </c>
      <c r="F66" s="119">
        <f>IF(DATA!F37="","",DATA!F37)</f>
        <v>0</v>
      </c>
      <c r="G66" s="119">
        <f>IF(DATA!G37="","",DATA!G37)</f>
        <v>0</v>
      </c>
      <c r="H66" s="119">
        <f>IF(DATA!H37="","",DATA!H37)</f>
        <v>0</v>
      </c>
    </row>
    <row r="67" spans="2:8" x14ac:dyDescent="0.3">
      <c r="B67" s="135">
        <f>IF(DATA!B38="","",DATA!B38)</f>
        <v>0</v>
      </c>
      <c r="C67" s="119" t="str">
        <f>IF(DATA!C38="","",DATA!C38)</f>
        <v>ZD62x</v>
      </c>
      <c r="D67" s="136">
        <f>IF(DATA!D38="","",DATA!D38)</f>
        <v>0</v>
      </c>
      <c r="E67" s="119">
        <f>IF(DATA!E38="","",DATA!E38)</f>
        <v>0</v>
      </c>
      <c r="F67" s="119">
        <f>IF(DATA!F38="","",DATA!F38)</f>
        <v>0</v>
      </c>
      <c r="G67" s="119">
        <f>IF(DATA!G38="","",DATA!G38)</f>
        <v>0</v>
      </c>
      <c r="H67" s="119">
        <f>IF(DATA!H38="","",DATA!H38)</f>
        <v>0</v>
      </c>
    </row>
    <row r="68" spans="2:8" x14ac:dyDescent="0.3">
      <c r="B68" s="135">
        <f>IF(DATA!B39="","",DATA!B39)</f>
        <v>0</v>
      </c>
      <c r="C68" s="119" t="str">
        <f>IF(DATA!C39="","",DATA!C39)</f>
        <v>ZT41x</v>
      </c>
      <c r="D68" s="136">
        <f>IF(DATA!D39="","",DATA!D39)</f>
        <v>0</v>
      </c>
      <c r="E68" s="119">
        <f>IF(DATA!E39="","",DATA!E39)</f>
        <v>0</v>
      </c>
      <c r="F68" s="119">
        <f>IF(DATA!F39="","",DATA!F39)</f>
        <v>0</v>
      </c>
      <c r="G68" s="119">
        <f>IF(DATA!G39="","",DATA!G39)</f>
        <v>0</v>
      </c>
      <c r="H68" s="119">
        <f>IF(DATA!H39="","",DATA!H39)</f>
        <v>0</v>
      </c>
    </row>
    <row r="69" spans="2:8" x14ac:dyDescent="0.3">
      <c r="B69" s="135">
        <f>IF(DATA!B40="","",DATA!B40)</f>
        <v>0</v>
      </c>
      <c r="C69" s="119" t="str">
        <f>IF(DATA!C40="","",DATA!C40)</f>
        <v>Laptops</v>
      </c>
      <c r="D69" s="136">
        <f>IF(DATA!D40="","",DATA!D40)</f>
        <v>0</v>
      </c>
      <c r="E69" s="119">
        <f>IF(DATA!E40="","",DATA!E40)</f>
        <v>0</v>
      </c>
      <c r="F69" s="119">
        <f>IF(DATA!F40="","",DATA!F40)</f>
        <v>0</v>
      </c>
      <c r="G69" s="119">
        <f>IF(DATA!G40="","",DATA!G40)</f>
        <v>0</v>
      </c>
      <c r="H69" s="119">
        <f>IF(DATA!H40="","",DATA!H40)</f>
        <v>0</v>
      </c>
    </row>
    <row r="70" spans="2:8" x14ac:dyDescent="0.3">
      <c r="B70" s="135">
        <f>IF(DATA!B41="","",DATA!B41)</f>
        <v>0</v>
      </c>
      <c r="C70" s="119" t="str">
        <f>IF(DATA!C41="","",DATA!C41)</f>
        <v>Avery</v>
      </c>
      <c r="D70" s="136">
        <f>IF(DATA!D41="","",DATA!D41)</f>
        <v>0</v>
      </c>
      <c r="E70" s="119">
        <f>IF(DATA!E41="","",DATA!E41)</f>
        <v>0</v>
      </c>
      <c r="F70" s="119">
        <f>IF(DATA!F41="","",DATA!F41)</f>
        <v>0</v>
      </c>
      <c r="G70" s="119">
        <f>IF(DATA!G41="","",DATA!G41)</f>
        <v>0</v>
      </c>
      <c r="H70" s="119">
        <f>IF(DATA!H41="","",DATA!H41)</f>
        <v>0</v>
      </c>
    </row>
    <row r="71" spans="2:8" x14ac:dyDescent="0.3">
      <c r="B71" s="135">
        <f>IF(DATA!B42="","",DATA!B42)</f>
        <v>0</v>
      </c>
      <c r="C71" s="119" t="str">
        <f>IF(DATA!C42="","",DATA!C42)</f>
        <v>RS5xxx</v>
      </c>
      <c r="D71" s="136">
        <f>IF(DATA!D42="","",DATA!D42)</f>
        <v>0</v>
      </c>
      <c r="E71" s="119">
        <f>IF(DATA!E42="","",DATA!E42)</f>
        <v>0</v>
      </c>
      <c r="F71" s="119">
        <f>IF(DATA!F42="","",DATA!F42)</f>
        <v>0</v>
      </c>
      <c r="G71" s="119">
        <f>IF(DATA!G42="","",DATA!G42)</f>
        <v>0</v>
      </c>
      <c r="H71" s="119">
        <f>IF(DATA!H42="","",DATA!H42)</f>
        <v>0</v>
      </c>
    </row>
    <row r="72" spans="2:8" x14ac:dyDescent="0.3">
      <c r="B72" s="135">
        <f>IF(DATA!B43="","",DATA!B43)</f>
        <v>0</v>
      </c>
      <c r="C72" s="119" t="str">
        <f>IF(DATA!C43="","",DATA!C43)</f>
        <v>DS3678</v>
      </c>
      <c r="D72" s="136">
        <f>IF(DATA!D43="","",DATA!D43)</f>
        <v>0</v>
      </c>
      <c r="E72" s="119">
        <f>IF(DATA!E43="","",DATA!E43)</f>
        <v>0</v>
      </c>
      <c r="F72" s="119">
        <f>IF(DATA!F43="","",DATA!F43)</f>
        <v>0</v>
      </c>
      <c r="G72" s="119">
        <f>IF(DATA!G43="","",DATA!G43)</f>
        <v>0</v>
      </c>
      <c r="H72" s="119">
        <f>IF(DATA!H43="","",DATA!H43)</f>
        <v>0</v>
      </c>
    </row>
    <row r="73" spans="2:8" x14ac:dyDescent="0.3">
      <c r="B73" s="135">
        <f>IF(DATA!B44="","",DATA!B44)</f>
        <v>0</v>
      </c>
      <c r="C73" s="119" t="str">
        <f>IF(DATA!C44="","",DATA!C44)</f>
        <v>Thinclient/Desktop</v>
      </c>
      <c r="D73" s="136">
        <f>IF(DATA!D44="","",DATA!D44)</f>
        <v>0</v>
      </c>
      <c r="E73" s="119">
        <f>IF(DATA!E44="","",DATA!E44)</f>
        <v>0</v>
      </c>
      <c r="F73" s="119">
        <f>IF(DATA!F44="","",DATA!F44)</f>
        <v>0</v>
      </c>
      <c r="G73" s="119">
        <f>IF(DATA!G44="","",DATA!G44)</f>
        <v>0</v>
      </c>
      <c r="H73" s="119">
        <f>IF(DATA!H44="","",DATA!H44)</f>
        <v>0</v>
      </c>
    </row>
    <row r="74" spans="2:8" x14ac:dyDescent="0.3">
      <c r="B74" s="135" t="str">
        <f>IF(DATA!B45="","",DATA!B45)</f>
        <v/>
      </c>
      <c r="C74" s="119" t="str">
        <f>IF(DATA!C45="","",DATA!C45)</f>
        <v>Motorola</v>
      </c>
      <c r="D74" s="136">
        <f>IF(DATA!D45="","",DATA!D45)</f>
        <v>0</v>
      </c>
      <c r="E74" s="119">
        <f>IF(DATA!E45="","",DATA!E45)</f>
        <v>0</v>
      </c>
      <c r="F74" s="119">
        <f>IF(DATA!F45="","",DATA!F45)</f>
        <v>0</v>
      </c>
      <c r="G74" s="119">
        <f>IF(DATA!G45="","",DATA!G45)</f>
        <v>0</v>
      </c>
      <c r="H74" s="119">
        <f>IF(DATA!H45="","",DATA!H45)</f>
        <v>0</v>
      </c>
    </row>
    <row r="75" spans="2:8" x14ac:dyDescent="0.3">
      <c r="B75" s="135" t="str">
        <f>IF(DATA!B46="","",DATA!B46)</f>
        <v/>
      </c>
      <c r="C75" s="119" t="str">
        <f>IF(DATA!C46="","",DATA!C46)</f>
        <v>RTV</v>
      </c>
      <c r="D75" s="136">
        <f>IF(DATA!D46="","",DATA!D46)</f>
        <v>0</v>
      </c>
      <c r="E75" s="119">
        <f>IF(DATA!E46="","",DATA!E46)</f>
        <v>0</v>
      </c>
      <c r="F75" s="119">
        <f>IF(DATA!F46="","",DATA!F46)</f>
        <v>0</v>
      </c>
      <c r="G75" s="119">
        <f>IF(DATA!G46="","",DATA!G46)</f>
        <v>0</v>
      </c>
      <c r="H75" s="119">
        <f>IF(DATA!H46="","",DATA!H46)</f>
        <v>0</v>
      </c>
    </row>
    <row r="76" spans="2:8" x14ac:dyDescent="0.3">
      <c r="B76" s="135" t="str">
        <f>IF(DATA!B47="","",DATA!B47)</f>
        <v/>
      </c>
      <c r="C76" s="119" t="str">
        <f>IF(DATA!C47="","",DATA!C47)</f>
        <v>Total</v>
      </c>
      <c r="D76" s="136" t="str">
        <f>IF(DATA!D47="","",DATA!D47)</f>
        <v/>
      </c>
      <c r="E76" s="119" t="str">
        <f>IF(DATA!E47="","",DATA!E47)</f>
        <v/>
      </c>
      <c r="F76" s="119" t="str">
        <f>IF(DATA!F47="","",DATA!F47)</f>
        <v/>
      </c>
      <c r="G76" s="119" t="str">
        <f>IF(DATA!G47="","",DATA!G47)</f>
        <v/>
      </c>
      <c r="H76" s="119" t="str">
        <f>IF(DATA!H47="","",DATA!H47)</f>
        <v/>
      </c>
    </row>
    <row r="77" spans="2:8" x14ac:dyDescent="0.3">
      <c r="B77" s="135" t="str">
        <f>IF(DATA!B48="","",DATA!B48)</f>
        <v/>
      </c>
      <c r="C77" s="119" t="str">
        <f>IF(DATA!C48="","",DATA!C48)</f>
        <v/>
      </c>
      <c r="D77" s="136" t="str">
        <f>IF(DATA!D48="","",DATA!D48)</f>
        <v>Monday</v>
      </c>
      <c r="E77" s="119" t="str">
        <f>IF(DATA!E48="","",DATA!E48)</f>
        <v>Tuesday</v>
      </c>
      <c r="F77" s="119" t="str">
        <f>IF(DATA!F48="","",DATA!F48)</f>
        <v>Wednesday</v>
      </c>
      <c r="G77" s="119" t="str">
        <f>IF(DATA!G48="","",DATA!G48)</f>
        <v>Thursday</v>
      </c>
      <c r="H77" s="119" t="str">
        <f>IF(DATA!H48="","",DATA!H48)</f>
        <v>Friday</v>
      </c>
    </row>
    <row r="78" spans="2:8" x14ac:dyDescent="0.3">
      <c r="B78" s="135">
        <f>IF(DATA!B49="","",DATA!B49)</f>
        <v>0</v>
      </c>
      <c r="C78" s="119" t="str">
        <f>IF(DATA!C49="","",DATA!C49)</f>
        <v>TOTAL WORKING HRS</v>
      </c>
      <c r="D78" s="136">
        <f>IF(DATA!D49="","",DATA!D49)</f>
        <v>0</v>
      </c>
      <c r="E78" s="119">
        <f>IF(DATA!E49="","",DATA!E49)</f>
        <v>0</v>
      </c>
      <c r="F78" s="119">
        <f>IF(DATA!F49="","",DATA!F49)</f>
        <v>0</v>
      </c>
      <c r="G78" s="119">
        <f>IF(DATA!G49="","",DATA!G49)</f>
        <v>0</v>
      </c>
      <c r="H78" s="119">
        <f>IF(DATA!H49="","",DATA!H49)</f>
        <v>0</v>
      </c>
    </row>
    <row r="79" spans="2:8" x14ac:dyDescent="0.3">
      <c r="B79" s="135">
        <f>IF(DATA!B50="","",DATA!B50)</f>
        <v>4.1666666666666664E-2</v>
      </c>
      <c r="C79" s="119" t="str">
        <f>IF(DATA!C50="","",DATA!C50)</f>
        <v xml:space="preserve">TOTAL NON WORKING HRS </v>
      </c>
      <c r="D79" s="136">
        <f>IF(DATA!D50="","",DATA!D50)</f>
        <v>0</v>
      </c>
      <c r="E79" s="119">
        <f>IF(DATA!E50="","",DATA!E50)</f>
        <v>0</v>
      </c>
      <c r="F79" s="119">
        <f>IF(DATA!F50="","",DATA!F50)</f>
        <v>0</v>
      </c>
      <c r="G79" s="119">
        <f>IF(DATA!G50="","",DATA!G50)</f>
        <v>0</v>
      </c>
      <c r="H79" s="119">
        <f>IF(DATA!H50="","",DATA!H50)</f>
        <v>0</v>
      </c>
    </row>
    <row r="80" spans="2:8" x14ac:dyDescent="0.3">
      <c r="B80" s="135" t="e">
        <f>IF(DATA!B51="","",DATA!B51)</f>
        <v>#VALUE!</v>
      </c>
      <c r="C80" s="119" t="str">
        <f>IF(DATA!C51="","",DATA!C51)</f>
        <v>COMMENT</v>
      </c>
      <c r="D80" s="136">
        <f>IF(DATA!D51="","",DATA!D51)</f>
        <v>0</v>
      </c>
      <c r="E80" s="119">
        <f>IF(DATA!E51="","",DATA!E51)</f>
        <v>0</v>
      </c>
      <c r="F80" s="119">
        <f>IF(DATA!F51="","",DATA!F51)</f>
        <v>0</v>
      </c>
      <c r="G80" s="119">
        <f>IF(DATA!G51="","",DATA!G51)</f>
        <v>0</v>
      </c>
      <c r="H80" s="119">
        <f>IF(DATA!H51="","",DATA!H51)</f>
        <v>0</v>
      </c>
    </row>
    <row r="81" spans="2:8" x14ac:dyDescent="0.3">
      <c r="B81" s="135" t="str">
        <f>IF(DATA!B52="","",DATA!B52)</f>
        <v/>
      </c>
      <c r="C81" s="119" t="str">
        <f>IF(DATA!C52="","",DATA!C52)</f>
        <v/>
      </c>
      <c r="D81" s="136" t="str">
        <f>IF(DATA!D52="","",DATA!D52)</f>
        <v>B26</v>
      </c>
      <c r="E81" s="119" t="str">
        <f>IF(DATA!E52="","",DATA!E52)</f>
        <v>B28</v>
      </c>
      <c r="F81" s="119" t="str">
        <f>IF(DATA!F52="","",DATA!F52)</f>
        <v>B30</v>
      </c>
      <c r="G81" s="119" t="str">
        <f>IF(DATA!G52="","",DATA!G52)</f>
        <v>B32</v>
      </c>
      <c r="H81" s="119" t="str">
        <f>IF(DATA!H52="","",DATA!H52)</f>
        <v>B34</v>
      </c>
    </row>
    <row r="82" spans="2:8" x14ac:dyDescent="0.3">
      <c r="B82" s="135" t="str">
        <f>IF(DATA!B53="","",DATA!B53)</f>
        <v/>
      </c>
      <c r="C82" s="119" t="str">
        <f>IF(DATA!C53="","",DATA!C53)</f>
        <v/>
      </c>
      <c r="D82" s="136" t="str">
        <f>IF(DATA!D53="","",DATA!D53)</f>
        <v/>
      </c>
      <c r="E82" s="119" t="str">
        <f>IF(DATA!E53="","",DATA!E53)</f>
        <v/>
      </c>
      <c r="F82" s="119" t="str">
        <f>IF(DATA!F53="","",DATA!F53)</f>
        <v/>
      </c>
      <c r="G82" s="119" t="str">
        <f>IF(DATA!G53="","",DATA!G53)</f>
        <v/>
      </c>
      <c r="H82" s="119" t="str">
        <f>IF(DATA!H53="","",DATA!H53)</f>
        <v/>
      </c>
    </row>
    <row r="83" spans="2:8" x14ac:dyDescent="0.3">
      <c r="B83" s="135" t="str">
        <f>IF(DATA!B54="","",DATA!B54)</f>
        <v/>
      </c>
      <c r="C83" s="119" t="str">
        <f>IF(DATA!C54="","",DATA!C54)</f>
        <v/>
      </c>
      <c r="D83" s="136" t="str">
        <f>IF(DATA!D54="","",DATA!D54)</f>
        <v/>
      </c>
      <c r="E83" s="119" t="str">
        <f>IF(DATA!E54="","",DATA!E54)</f>
        <v/>
      </c>
      <c r="F83" s="119" t="str">
        <f>IF(DATA!F54="","",DATA!F54)</f>
        <v/>
      </c>
      <c r="G83" s="119" t="str">
        <f>IF(DATA!G54="","",DATA!G54)</f>
        <v/>
      </c>
      <c r="H83" s="119" t="str">
        <f>IF(DATA!H54="","",DATA!H54)</f>
        <v/>
      </c>
    </row>
    <row r="84" spans="2:8" x14ac:dyDescent="0.3">
      <c r="B84" s="135" t="str">
        <f>IF(DATA!B55="","",DATA!B55)</f>
        <v/>
      </c>
      <c r="C84" s="119" t="str">
        <f>IF(DATA!C55="","",DATA!C55)</f>
        <v/>
      </c>
      <c r="D84" s="136" t="str">
        <f>IF(DATA!D55="","",DATA!D55)</f>
        <v/>
      </c>
      <c r="E84" s="119" t="str">
        <f>IF(DATA!E55="","",DATA!E55)</f>
        <v/>
      </c>
      <c r="F84" s="119" t="str">
        <f>IF(DATA!F55="","",DATA!F55)</f>
        <v/>
      </c>
      <c r="G84" s="119" t="str">
        <f>IF(DATA!G55="","",DATA!G55)</f>
        <v/>
      </c>
      <c r="H84" s="119" t="str">
        <f>IF(DATA!H55="","",DATA!H55)</f>
        <v/>
      </c>
    </row>
    <row r="85" spans="2:8" x14ac:dyDescent="0.3">
      <c r="B85" s="135" t="str">
        <f>IF(DATA!B56="","",DATA!B56)</f>
        <v/>
      </c>
      <c r="C85" s="119" t="str">
        <f>IF(DATA!C56="","",DATA!C56)</f>
        <v/>
      </c>
      <c r="D85" s="136" t="str">
        <f>IF(DATA!D56="","",DATA!D56)</f>
        <v/>
      </c>
      <c r="E85" s="119" t="str">
        <f>IF(DATA!E56="","",DATA!E56)</f>
        <v/>
      </c>
      <c r="F85" s="119" t="str">
        <f>IF(DATA!F56="","",DATA!F56)</f>
        <v/>
      </c>
      <c r="G85" s="119" t="str">
        <f>IF(DATA!G56="","",DATA!G56)</f>
        <v/>
      </c>
      <c r="H85" s="119" t="str">
        <f>IF(DATA!H56="","",DATA!H56)</f>
        <v/>
      </c>
    </row>
    <row r="86" spans="2:8" x14ac:dyDescent="0.3">
      <c r="B86" s="135" t="str">
        <f>IF(DATA!B57="","",DATA!B57)</f>
        <v/>
      </c>
      <c r="C86" s="119" t="str">
        <f>IF(DATA!C57="","",DATA!C57)</f>
        <v/>
      </c>
      <c r="D86" s="136" t="str">
        <f>IF(DATA!D57="","",DATA!D57)</f>
        <v/>
      </c>
      <c r="E86" s="119" t="str">
        <f>IF(DATA!E57="","",DATA!E57)</f>
        <v/>
      </c>
      <c r="F86" s="119" t="str">
        <f>IF(DATA!F57="","",DATA!F57)</f>
        <v/>
      </c>
      <c r="G86" s="119" t="str">
        <f>IF(DATA!G57="","",DATA!G57)</f>
        <v/>
      </c>
      <c r="H86" s="119" t="str">
        <f>IF(DATA!H57="","",DATA!H57)</f>
        <v/>
      </c>
    </row>
    <row r="87" spans="2:8" x14ac:dyDescent="0.3">
      <c r="B87" s="135" t="str">
        <f>IF(DATA!B58="","",DATA!B58)</f>
        <v/>
      </c>
      <c r="C87" s="119" t="str">
        <f>IF(DATA!C58="","",DATA!C58)</f>
        <v/>
      </c>
      <c r="D87" s="136" t="str">
        <f>IF(DATA!D58="","",DATA!D58)</f>
        <v/>
      </c>
      <c r="E87" s="119" t="str">
        <f>IF(DATA!E58="","",DATA!E58)</f>
        <v/>
      </c>
      <c r="F87" s="119" t="str">
        <f>IF(DATA!F58="","",DATA!F58)</f>
        <v/>
      </c>
      <c r="G87" s="119" t="str">
        <f>IF(DATA!G58="","",DATA!G58)</f>
        <v/>
      </c>
      <c r="H87" s="119" t="str">
        <f>IF(DATA!H58="","",DATA!H58)</f>
        <v/>
      </c>
    </row>
    <row r="88" spans="2:8" x14ac:dyDescent="0.3">
      <c r="B88" s="135" t="str">
        <f>IF(DATA!B59="","",DATA!B59)</f>
        <v/>
      </c>
      <c r="C88" s="119" t="str">
        <f>IF(DATA!C59="","",DATA!C59)</f>
        <v/>
      </c>
      <c r="D88" s="136" t="str">
        <f>IF(DATA!D59="","",DATA!D59)</f>
        <v/>
      </c>
      <c r="E88" s="119" t="str">
        <f>IF(DATA!E59="","",DATA!E59)</f>
        <v/>
      </c>
      <c r="F88" s="119" t="str">
        <f>IF(DATA!F59="","",DATA!F59)</f>
        <v/>
      </c>
      <c r="G88" s="119" t="str">
        <f>IF(DATA!G59="","",DATA!G59)</f>
        <v/>
      </c>
      <c r="H88" s="119" t="str">
        <f>IF(DATA!H59="","",DATA!H59)</f>
        <v/>
      </c>
    </row>
  </sheetData>
  <mergeCells count="3">
    <mergeCell ref="N15:N16"/>
    <mergeCell ref="O15:O16"/>
    <mergeCell ref="P15:P16"/>
  </mergeCells>
  <conditionalFormatting sqref="B2 B4:B13">
    <cfRule type="notContainsBlanks" dxfId="100" priority="55">
      <formula>LEN(TRIM(B2))&gt;0</formula>
    </cfRule>
  </conditionalFormatting>
  <conditionalFormatting sqref="N3:N9 U27 O28:O53">
    <cfRule type="containsBlanks" dxfId="99" priority="53">
      <formula>LEN(TRIM(N3))=0</formula>
    </cfRule>
    <cfRule type="notContainsBlanks" dxfId="98" priority="54">
      <formula>LEN(TRIM(N3))&gt;0</formula>
    </cfRule>
  </conditionalFormatting>
  <conditionalFormatting sqref="A16:A21 A2:A13">
    <cfRule type="notContainsBlanks" dxfId="97" priority="50">
      <formula>LEN(TRIM(A2))&gt;0</formula>
    </cfRule>
  </conditionalFormatting>
  <conditionalFormatting sqref="C4:H13 H15 C15:F15">
    <cfRule type="cellIs" dxfId="96" priority="49" operator="greaterThan">
      <formula>0</formula>
    </cfRule>
  </conditionalFormatting>
  <conditionalFormatting sqref="I4:I13">
    <cfRule type="cellIs" dxfId="95" priority="44" operator="greaterThan">
      <formula>0</formula>
    </cfRule>
  </conditionalFormatting>
  <conditionalFormatting sqref="B15">
    <cfRule type="notContainsBlanks" dxfId="94" priority="39">
      <formula>LEN(TRIM(B15))&gt;0</formula>
    </cfRule>
  </conditionalFormatting>
  <conditionalFormatting sqref="A15">
    <cfRule type="notContainsBlanks" dxfId="93" priority="38">
      <formula>LEN(TRIM(A15))&gt;0</formula>
    </cfRule>
  </conditionalFormatting>
  <conditionalFormatting sqref="I15">
    <cfRule type="cellIs" dxfId="92" priority="36" operator="greaterThan">
      <formula>0</formula>
    </cfRule>
  </conditionalFormatting>
  <conditionalFormatting sqref="A14">
    <cfRule type="notContainsBlanks" dxfId="91" priority="34">
      <formula>LEN(TRIM(A14))&gt;0</formula>
    </cfRule>
  </conditionalFormatting>
  <conditionalFormatting sqref="C14:H14">
    <cfRule type="cellIs" dxfId="90" priority="33" operator="greaterThan">
      <formula>0</formula>
    </cfRule>
  </conditionalFormatting>
  <conditionalFormatting sqref="I14">
    <cfRule type="cellIs" dxfId="89" priority="32" operator="greaterThan">
      <formula>0</formula>
    </cfRule>
  </conditionalFormatting>
  <conditionalFormatting sqref="B14">
    <cfRule type="notContainsBlanks" dxfId="88" priority="31">
      <formula>LEN(TRIM(B14))&gt;0</formula>
    </cfRule>
  </conditionalFormatting>
  <conditionalFormatting sqref="G3:G13">
    <cfRule type="cellIs" dxfId="87" priority="30" operator="greaterThan">
      <formula>0</formula>
    </cfRule>
  </conditionalFormatting>
  <conditionalFormatting sqref="S28">
    <cfRule type="containsBlanks" dxfId="86" priority="28">
      <formula>LEN(TRIM(S28))=0</formula>
    </cfRule>
    <cfRule type="notContainsBlanks" dxfId="85" priority="29">
      <formula>LEN(TRIM(S28))&gt;0</formula>
    </cfRule>
  </conditionalFormatting>
  <conditionalFormatting sqref="O3:O8">
    <cfRule type="dataBar" priority="2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{5090888E-7BEB-42D5-9AAD-EAF83307416B}</x14:id>
        </ext>
      </extLst>
    </cfRule>
  </conditionalFormatting>
  <conditionalFormatting sqref="O12:O13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{3E1D43A7-51FE-4BBB-B67A-8BF6CD3B063B}</x14:id>
        </ext>
      </extLst>
    </cfRule>
  </conditionalFormatting>
  <conditionalFormatting sqref="B16:B21">
    <cfRule type="notContainsBlanks" dxfId="84" priority="21">
      <formula>LEN(TRIM(B16))&gt;0</formula>
    </cfRule>
  </conditionalFormatting>
  <conditionalFormatting sqref="N28">
    <cfRule type="containsBlanks" dxfId="83" priority="17">
      <formula>LEN(TRIM(N28))=0</formula>
    </cfRule>
    <cfRule type="notContainsBlanks" dxfId="82" priority="18">
      <formula>LEN(TRIM(N28))&gt;0</formula>
    </cfRule>
  </conditionalFormatting>
  <conditionalFormatting sqref="N28:P28 S27:W27 M27:M42 N29:O53">
    <cfRule type="containsBlanks" dxfId="81" priority="14">
      <formula>LEN(TRIM(M27))=0</formula>
    </cfRule>
  </conditionalFormatting>
  <conditionalFormatting sqref="M28:M42">
    <cfRule type="containsBlanks" dxfId="80" priority="12">
      <formula>LEN(TRIM(M28))=0</formula>
    </cfRule>
    <cfRule type="notContainsBlanks" dxfId="79" priority="13">
      <formula>LEN(TRIM(M28))&gt;0</formula>
    </cfRule>
  </conditionalFormatting>
  <conditionalFormatting sqref="R29:R53">
    <cfRule type="containsBlanks" dxfId="78" priority="8">
      <formula>LEN(TRIM(R29))=0</formula>
    </cfRule>
  </conditionalFormatting>
  <conditionalFormatting sqref="R29:R53">
    <cfRule type="containsBlanks" dxfId="77" priority="6">
      <formula>LEN(TRIM(R29))=0</formula>
    </cfRule>
    <cfRule type="notContainsBlanks" dxfId="76" priority="7">
      <formula>LEN(TRIM(R29))&gt;0</formula>
    </cfRule>
  </conditionalFormatting>
  <conditionalFormatting sqref="N17:N20 N15">
    <cfRule type="dataBar" priority="3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{D2ADB903-F004-49D7-BE11-7CACAEECDED0}</x14:id>
        </ext>
      </extLst>
    </cfRule>
  </conditionalFormatting>
  <conditionalFormatting sqref="Q3:R15">
    <cfRule type="dataBar" priority="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{CEB3E396-F079-477E-9255-FA1203294A75}</x14:id>
        </ext>
      </extLst>
    </cfRule>
  </conditionalFormatting>
  <conditionalFormatting sqref="N21:N25">
    <cfRule type="dataBar" priority="3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{CC06A551-697D-4984-8BF5-22B4E48A4D37}</x14:id>
        </ext>
      </extLst>
    </cfRule>
  </conditionalFormatting>
  <conditionalFormatting sqref="T29:T53">
    <cfRule type="containsBlanks" dxfId="75" priority="2">
      <formula>LEN(TRIM(T29))=0</formula>
    </cfRule>
    <cfRule type="notContainsBlanks" dxfId="74" priority="3">
      <formula>LEN(TRIM(T29))&gt;0</formula>
    </cfRule>
  </conditionalFormatting>
  <conditionalFormatting sqref="S29:T53">
    <cfRule type="containsBlanks" dxfId="73" priority="1">
      <formula>LEN(TRIM(S29))=0</formula>
    </cfRule>
  </conditionalFormatting>
  <conditionalFormatting sqref="M3:M27">
    <cfRule type="dataBar" priority="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{DBAA9124-6274-4134-ADD4-5CAE6194AE4C}</x14:id>
        </ext>
      </extLst>
    </cfRule>
  </conditionalFormatting>
  <pageMargins left="0.7" right="0.7" top="0.75" bottom="0.75" header="0.3" footer="0.3"/>
  <pageSetup scale="42" fitToHeight="0" orientation="landscape" r:id="rId1"/>
  <rowBreaks count="1" manualBreakCount="1">
    <brk id="15" max="16383" man="1"/>
  </rowBreaks>
  <ignoredErrors>
    <ignoredError sqref="AB30 AF30:AN30 AD30 AF31:AF39 AH31:AH39 AJ31:AJ39 AL31:AL39 AN31:AN39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090888E-7BEB-42D5-9AAD-EAF83307416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O3:O8</xm:sqref>
        </x14:conditionalFormatting>
        <x14:conditionalFormatting xmlns:xm="http://schemas.microsoft.com/office/excel/2006/main">
          <x14:cfRule type="dataBar" id="{3E1D43A7-51FE-4BBB-B67A-8BF6CD3B06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O12:O13</xm:sqref>
        </x14:conditionalFormatting>
        <x14:conditionalFormatting xmlns:xm="http://schemas.microsoft.com/office/excel/2006/main">
          <x14:cfRule type="dataBar" id="{D2ADB903-F004-49D7-BE11-7CACAEECDE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N17:N20 N15</xm:sqref>
        </x14:conditionalFormatting>
        <x14:conditionalFormatting xmlns:xm="http://schemas.microsoft.com/office/excel/2006/main">
          <x14:cfRule type="dataBar" id="{CEB3E396-F079-477E-9255-FA1203294A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Q3:R15</xm:sqref>
        </x14:conditionalFormatting>
        <x14:conditionalFormatting xmlns:xm="http://schemas.microsoft.com/office/excel/2006/main">
          <x14:cfRule type="dataBar" id="{CC06A551-697D-4984-8BF5-22B4E48A4D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N21:N25</xm:sqref>
        </x14:conditionalFormatting>
        <x14:conditionalFormatting xmlns:xm="http://schemas.microsoft.com/office/excel/2006/main">
          <x14:cfRule type="dataBar" id="{DBAA9124-6274-4134-ADD4-5CAE6194AE4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M3:M27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1EE37-D0FF-4253-B799-65035ADE1257}">
  <sheetPr codeName="Sheet2">
    <pageSetUpPr fitToPage="1"/>
  </sheetPr>
  <dimension ref="A1:U100"/>
  <sheetViews>
    <sheetView showGridLines="0" showRowColHeaders="0" tabSelected="1" zoomScale="70" zoomScaleNormal="70" workbookViewId="0"/>
  </sheetViews>
  <sheetFormatPr defaultRowHeight="14.4" x14ac:dyDescent="0.3"/>
  <cols>
    <col min="1" max="1" width="21.88671875" bestFit="1" customWidth="1"/>
    <col min="2" max="2" width="17.33203125" customWidth="1"/>
    <col min="3" max="3" width="34" bestFit="1" customWidth="1"/>
    <col min="4" max="4" width="17.88671875" bestFit="1" customWidth="1"/>
    <col min="5" max="5" width="20.5546875" bestFit="1" customWidth="1"/>
    <col min="6" max="6" width="30.44140625" bestFit="1" customWidth="1"/>
    <col min="7" max="8" width="14.33203125" customWidth="1"/>
    <col min="10" max="10" width="10.44140625" bestFit="1" customWidth="1"/>
    <col min="11" max="11" width="44.88671875" bestFit="1" customWidth="1"/>
    <col min="13" max="13" width="8.88671875" customWidth="1"/>
    <col min="14" max="14" width="19.33203125" bestFit="1" customWidth="1"/>
    <col min="15" max="15" width="23.6640625" customWidth="1"/>
    <col min="16" max="16" width="13" customWidth="1"/>
    <col min="17" max="17" width="13.5546875" bestFit="1" customWidth="1"/>
    <col min="18" max="18" width="23.6640625" customWidth="1"/>
    <col min="19" max="19" width="13" customWidth="1"/>
    <col min="20" max="20" width="13" style="178" customWidth="1"/>
  </cols>
  <sheetData>
    <row r="1" spans="1:21" x14ac:dyDescent="0.3">
      <c r="B1" s="186"/>
      <c r="C1" s="137"/>
      <c r="D1" s="187"/>
      <c r="E1" s="181"/>
      <c r="F1" s="137"/>
      <c r="G1" s="137"/>
      <c r="H1" s="188"/>
      <c r="J1" t="s">
        <v>108</v>
      </c>
      <c r="K1" s="137" t="s">
        <v>109</v>
      </c>
    </row>
    <row r="2" spans="1:21" x14ac:dyDescent="0.3">
      <c r="A2" s="179"/>
      <c r="B2" s="186"/>
      <c r="C2" s="137"/>
      <c r="D2" s="187"/>
      <c r="E2" s="181"/>
      <c r="F2" s="137"/>
      <c r="G2" s="137"/>
      <c r="H2" s="188"/>
      <c r="J2" t="s">
        <v>117</v>
      </c>
      <c r="K2" t="str">
        <f>CONCATENATE(K1&amp;"_bridgereport_"&amp;TEXT(B1,"dddd")&amp;"_"&amp;TEXT(B1,"mmddyyyy"))</f>
        <v>chrlsim_bridgereport_Saturday_01001900</v>
      </c>
    </row>
    <row r="3" spans="1:21" x14ac:dyDescent="0.3">
      <c r="A3" s="179"/>
      <c r="B3" s="186"/>
      <c r="C3" s="137"/>
      <c r="D3" s="187"/>
      <c r="E3" s="181"/>
      <c r="F3" s="137"/>
      <c r="G3" s="137"/>
      <c r="H3" s="188"/>
      <c r="J3" t="s">
        <v>118</v>
      </c>
      <c r="K3" t="s">
        <v>165</v>
      </c>
    </row>
    <row r="4" spans="1:21" x14ac:dyDescent="0.3">
      <c r="A4" s="179"/>
      <c r="B4" s="186"/>
      <c r="C4" s="137"/>
      <c r="D4" s="187"/>
      <c r="E4" s="181"/>
      <c r="F4" s="137"/>
      <c r="G4" s="137"/>
      <c r="H4" s="188"/>
    </row>
    <row r="5" spans="1:21" x14ac:dyDescent="0.3">
      <c r="A5" s="179"/>
      <c r="B5" s="186"/>
      <c r="C5" s="137"/>
      <c r="D5" s="187"/>
      <c r="E5" s="181"/>
      <c r="F5" s="137"/>
      <c r="G5" s="137"/>
      <c r="H5" s="188"/>
    </row>
    <row r="6" spans="1:21" x14ac:dyDescent="0.3">
      <c r="A6" s="179"/>
      <c r="B6" s="186"/>
      <c r="C6" s="137"/>
      <c r="D6" s="187"/>
      <c r="E6" s="181"/>
      <c r="F6" s="137"/>
      <c r="G6" s="137"/>
      <c r="H6" s="188"/>
    </row>
    <row r="7" spans="1:21" x14ac:dyDescent="0.3">
      <c r="A7" s="179"/>
      <c r="B7" s="186"/>
      <c r="C7" s="137"/>
      <c r="D7" s="187"/>
      <c r="E7" s="181"/>
      <c r="F7" s="137"/>
      <c r="G7" s="137"/>
      <c r="H7" s="188"/>
    </row>
    <row r="8" spans="1:21" ht="21" x14ac:dyDescent="0.4">
      <c r="A8" s="179"/>
      <c r="B8" s="186"/>
      <c r="C8" s="137"/>
      <c r="D8" s="187"/>
      <c r="E8" s="181"/>
      <c r="F8" s="137"/>
      <c r="G8" s="137"/>
      <c r="H8" s="188"/>
      <c r="N8" s="189" t="str">
        <f>brief!H4</f>
        <v>Compliance %</v>
      </c>
      <c r="O8" s="189" t="str">
        <f>brief!I4</f>
        <v>% to goal without bridging</v>
      </c>
    </row>
    <row r="9" spans="1:21" ht="21" x14ac:dyDescent="0.4">
      <c r="A9" s="179"/>
      <c r="B9" s="186"/>
      <c r="C9" s="137"/>
      <c r="D9" s="187"/>
      <c r="E9" s="181"/>
      <c r="F9" s="137"/>
      <c r="G9" s="137"/>
      <c r="H9" s="188"/>
      <c r="N9" s="190">
        <f>brief!H5</f>
        <v>0</v>
      </c>
      <c r="O9" s="190">
        <f>brief!I5</f>
        <v>0</v>
      </c>
      <c r="Q9" s="149"/>
      <c r="R9" s="149"/>
    </row>
    <row r="10" spans="1:21" x14ac:dyDescent="0.3">
      <c r="A10" s="179"/>
      <c r="B10" s="186"/>
      <c r="C10" s="137"/>
      <c r="D10" s="187"/>
      <c r="E10" s="181"/>
      <c r="F10" s="137"/>
      <c r="G10" s="137"/>
      <c r="H10" s="188"/>
    </row>
    <row r="11" spans="1:21" ht="15" customHeight="1" x14ac:dyDescent="0.3">
      <c r="A11" s="179"/>
      <c r="B11" s="186"/>
      <c r="C11" s="137"/>
      <c r="D11" s="187"/>
      <c r="E11" s="181"/>
      <c r="F11" s="137"/>
      <c r="G11" s="137"/>
      <c r="H11" s="188"/>
      <c r="N11" s="197" t="e">
        <f>brief!J6</f>
        <v>#VALUE!</v>
      </c>
      <c r="O11" s="197"/>
      <c r="Q11" s="199" t="e">
        <f>brief!AF31</f>
        <v>#VALUE!</v>
      </c>
      <c r="R11" s="199"/>
      <c r="S11" s="199"/>
      <c r="T11" s="199"/>
      <c r="U11" s="199"/>
    </row>
    <row r="12" spans="1:21" ht="15" customHeight="1" x14ac:dyDescent="0.3">
      <c r="A12" s="179"/>
      <c r="B12" s="186"/>
      <c r="C12" s="137"/>
      <c r="D12" s="187"/>
      <c r="E12" s="181"/>
      <c r="F12" s="137"/>
      <c r="G12" s="137"/>
      <c r="H12" s="188"/>
      <c r="N12" s="198"/>
      <c r="O12" s="198"/>
      <c r="Q12" s="199"/>
      <c r="R12" s="199"/>
      <c r="S12" s="199"/>
      <c r="T12" s="199"/>
      <c r="U12" s="199"/>
    </row>
    <row r="13" spans="1:21" ht="15" customHeight="1" x14ac:dyDescent="0.3">
      <c r="A13" s="179"/>
      <c r="B13" s="186"/>
      <c r="C13" s="137"/>
      <c r="D13" s="187"/>
      <c r="E13" s="181"/>
      <c r="F13" s="137"/>
      <c r="G13" s="137"/>
      <c r="H13" s="188"/>
      <c r="N13" s="198"/>
      <c r="O13" s="198"/>
      <c r="Q13" s="199"/>
      <c r="R13" s="199"/>
      <c r="S13" s="199"/>
      <c r="T13" s="199"/>
      <c r="U13" s="199"/>
    </row>
    <row r="14" spans="1:21" ht="15" customHeight="1" x14ac:dyDescent="0.3">
      <c r="A14" s="179"/>
      <c r="B14" s="180"/>
      <c r="C14" s="137"/>
      <c r="D14" s="181"/>
      <c r="E14" s="137"/>
      <c r="F14" s="137"/>
      <c r="G14" s="137"/>
      <c r="H14" s="182"/>
      <c r="N14" s="198"/>
      <c r="O14" s="198"/>
      <c r="Q14" s="199"/>
      <c r="R14" s="199"/>
      <c r="S14" s="199"/>
      <c r="T14" s="199"/>
      <c r="U14" s="199"/>
    </row>
    <row r="15" spans="1:21" ht="15" customHeight="1" x14ac:dyDescent="0.3">
      <c r="A15" s="179"/>
      <c r="B15" s="180"/>
      <c r="C15" s="137"/>
      <c r="D15" s="181"/>
      <c r="E15" s="137"/>
      <c r="F15" s="137"/>
      <c r="G15" s="137"/>
      <c r="H15" s="182"/>
      <c r="N15" s="198"/>
      <c r="O15" s="198"/>
      <c r="Q15" s="199"/>
      <c r="R15" s="199"/>
      <c r="S15" s="199"/>
      <c r="T15" s="199"/>
      <c r="U15" s="199"/>
    </row>
    <row r="16" spans="1:21" ht="15" customHeight="1" x14ac:dyDescent="0.3">
      <c r="A16" s="179"/>
      <c r="B16" s="180"/>
      <c r="C16" s="137"/>
      <c r="D16" s="181"/>
      <c r="E16" s="137"/>
      <c r="F16" s="137"/>
      <c r="G16" s="137"/>
      <c r="H16" s="182"/>
      <c r="N16" s="198"/>
      <c r="O16" s="198"/>
      <c r="Q16" s="199"/>
      <c r="R16" s="199"/>
      <c r="S16" s="199"/>
      <c r="T16" s="199"/>
      <c r="U16" s="199"/>
    </row>
    <row r="17" spans="1:21" ht="15" customHeight="1" x14ac:dyDescent="0.3">
      <c r="A17" s="179"/>
      <c r="B17" s="180"/>
      <c r="C17" s="137"/>
      <c r="D17" s="181"/>
      <c r="E17" s="137"/>
      <c r="F17" s="137"/>
      <c r="G17" s="137"/>
      <c r="H17" s="182"/>
      <c r="N17" s="198"/>
      <c r="O17" s="198"/>
      <c r="Q17" s="199"/>
      <c r="R17" s="199"/>
      <c r="S17" s="199"/>
      <c r="T17" s="199"/>
      <c r="U17" s="199"/>
    </row>
    <row r="18" spans="1:21" ht="15" customHeight="1" x14ac:dyDescent="0.3">
      <c r="A18" s="179"/>
      <c r="B18" s="180"/>
      <c r="C18" s="137"/>
      <c r="D18" s="181"/>
      <c r="E18" s="137"/>
      <c r="F18" s="137"/>
      <c r="G18" s="137"/>
      <c r="H18" s="182"/>
      <c r="N18" s="198"/>
      <c r="O18" s="198"/>
      <c r="Q18" s="199"/>
      <c r="R18" s="199"/>
      <c r="S18" s="199"/>
      <c r="T18" s="199"/>
      <c r="U18" s="199"/>
    </row>
    <row r="19" spans="1:21" ht="15" customHeight="1" x14ac:dyDescent="0.3">
      <c r="A19" s="179"/>
      <c r="B19" s="137"/>
      <c r="C19" s="137"/>
      <c r="D19" s="137"/>
      <c r="E19" s="137"/>
      <c r="F19" s="137"/>
      <c r="G19" s="137"/>
      <c r="H19" s="182"/>
      <c r="N19" s="198"/>
      <c r="O19" s="198"/>
      <c r="Q19" s="199"/>
      <c r="R19" s="199"/>
      <c r="S19" s="199"/>
      <c r="T19" s="199"/>
      <c r="U19" s="199"/>
    </row>
    <row r="20" spans="1:21" ht="15" customHeight="1" x14ac:dyDescent="0.3">
      <c r="A20" s="179"/>
      <c r="B20" s="137"/>
      <c r="C20" s="137"/>
      <c r="D20" s="137"/>
      <c r="E20" s="137"/>
      <c r="F20" s="137"/>
      <c r="G20" s="137"/>
      <c r="H20" s="182"/>
      <c r="N20" s="198"/>
      <c r="O20" s="198"/>
      <c r="Q20" s="199"/>
      <c r="R20" s="199"/>
      <c r="S20" s="199"/>
      <c r="T20" s="199"/>
      <c r="U20" s="199"/>
    </row>
    <row r="21" spans="1:21" ht="15" customHeight="1" x14ac:dyDescent="0.3">
      <c r="A21" s="179"/>
      <c r="B21" s="137"/>
      <c r="C21" s="137"/>
      <c r="D21" s="137"/>
      <c r="E21" s="137"/>
      <c r="F21" s="137"/>
      <c r="G21" s="137"/>
      <c r="H21" s="182"/>
      <c r="N21" s="198"/>
      <c r="O21" s="198"/>
      <c r="Q21" s="199"/>
      <c r="R21" s="199"/>
      <c r="S21" s="199"/>
      <c r="T21" s="199"/>
      <c r="U21" s="199"/>
    </row>
    <row r="22" spans="1:21" ht="15" customHeight="1" x14ac:dyDescent="0.3">
      <c r="A22" s="179"/>
      <c r="B22" s="137"/>
      <c r="C22" s="137"/>
      <c r="D22" s="137"/>
      <c r="E22" s="137"/>
      <c r="F22" s="137"/>
      <c r="G22" s="137"/>
      <c r="H22" s="182"/>
      <c r="N22" s="198"/>
      <c r="O22" s="198"/>
      <c r="Q22" s="199"/>
      <c r="R22" s="199"/>
      <c r="S22" s="199"/>
      <c r="T22" s="199"/>
      <c r="U22" s="199"/>
    </row>
    <row r="23" spans="1:21" ht="15" customHeight="1" x14ac:dyDescent="0.3">
      <c r="A23" s="179"/>
      <c r="B23" s="137"/>
      <c r="C23" s="137"/>
      <c r="D23" s="137"/>
      <c r="E23" s="137"/>
      <c r="F23" s="137"/>
      <c r="G23" s="137"/>
      <c r="H23" s="182"/>
      <c r="N23" s="198"/>
      <c r="O23" s="198"/>
      <c r="Q23" s="199"/>
      <c r="R23" s="199"/>
      <c r="S23" s="199"/>
      <c r="T23" s="199"/>
      <c r="U23" s="199"/>
    </row>
    <row r="24" spans="1:21" ht="15" customHeight="1" x14ac:dyDescent="0.3">
      <c r="A24" s="179"/>
      <c r="B24" s="137"/>
      <c r="C24" s="137"/>
      <c r="D24" s="137"/>
      <c r="E24" s="137"/>
      <c r="F24" s="137"/>
      <c r="G24" s="137"/>
      <c r="H24" s="182"/>
      <c r="N24" s="198"/>
      <c r="O24" s="198"/>
      <c r="Q24" s="199"/>
      <c r="R24" s="199"/>
      <c r="S24" s="199"/>
      <c r="T24" s="199"/>
      <c r="U24" s="199"/>
    </row>
    <row r="25" spans="1:21" ht="15" customHeight="1" x14ac:dyDescent="0.3">
      <c r="A25" s="179"/>
      <c r="B25" s="137"/>
      <c r="C25" s="137"/>
      <c r="D25" s="137"/>
      <c r="E25" s="137"/>
      <c r="F25" s="137"/>
      <c r="G25" s="137"/>
      <c r="H25" s="182"/>
      <c r="N25" s="198"/>
      <c r="O25" s="198"/>
      <c r="Q25" s="199"/>
      <c r="R25" s="199"/>
      <c r="S25" s="199"/>
      <c r="T25" s="199"/>
      <c r="U25" s="199"/>
    </row>
    <row r="26" spans="1:21" ht="15.75" customHeight="1" thickBot="1" x14ac:dyDescent="0.35">
      <c r="A26" s="183"/>
      <c r="B26" s="184"/>
      <c r="C26" s="184"/>
      <c r="D26" s="184"/>
      <c r="E26" s="184"/>
      <c r="F26" s="184"/>
      <c r="G26" s="184"/>
      <c r="H26" s="185"/>
      <c r="N26" s="198"/>
      <c r="O26" s="198"/>
      <c r="Q26" s="199"/>
      <c r="R26" s="199"/>
      <c r="S26" s="199"/>
      <c r="T26" s="199"/>
      <c r="U26" s="199"/>
    </row>
    <row r="27" spans="1:21" ht="15" customHeight="1" x14ac:dyDescent="0.3">
      <c r="N27" s="198"/>
      <c r="O27" s="198"/>
      <c r="Q27" s="199"/>
      <c r="R27" s="199"/>
      <c r="S27" s="199"/>
      <c r="T27" s="199"/>
      <c r="U27" s="199"/>
    </row>
    <row r="28" spans="1:21" ht="15" customHeight="1" x14ac:dyDescent="0.3">
      <c r="N28" s="198"/>
      <c r="O28" s="198"/>
      <c r="Q28" s="199"/>
      <c r="R28" s="199"/>
      <c r="S28" s="199"/>
      <c r="T28" s="199"/>
      <c r="U28" s="199"/>
    </row>
    <row r="29" spans="1:21" ht="15" customHeight="1" x14ac:dyDescent="0.3">
      <c r="N29" s="198"/>
      <c r="O29" s="198"/>
      <c r="Q29" s="199"/>
      <c r="R29" s="199"/>
      <c r="S29" s="199"/>
      <c r="T29" s="199"/>
      <c r="U29" s="199"/>
    </row>
    <row r="30" spans="1:21" ht="15" customHeight="1" x14ac:dyDescent="0.3">
      <c r="N30" s="198"/>
      <c r="O30" s="198"/>
      <c r="Q30" s="199"/>
      <c r="R30" s="199"/>
      <c r="S30" s="199"/>
      <c r="T30" s="199"/>
      <c r="U30" s="199"/>
    </row>
    <row r="31" spans="1:21" ht="15" customHeight="1" x14ac:dyDescent="0.3">
      <c r="C31" t="str">
        <f>TEXT(Main!B28,"DDDD")</f>
        <v/>
      </c>
      <c r="D31" t="b">
        <f>IF(D33=$C$31,TRUE,FALSE)</f>
        <v>0</v>
      </c>
      <c r="E31" t="b">
        <f t="shared" ref="E31:H31" si="0">IF(E33=$C$31,TRUE,FALSE)</f>
        <v>0</v>
      </c>
      <c r="F31" t="b">
        <f t="shared" si="0"/>
        <v>0</v>
      </c>
      <c r="G31" t="b">
        <f t="shared" si="0"/>
        <v>0</v>
      </c>
      <c r="H31" t="b">
        <f t="shared" si="0"/>
        <v>0</v>
      </c>
      <c r="N31" s="198"/>
      <c r="O31" s="198"/>
      <c r="Q31" s="199"/>
      <c r="R31" s="199"/>
      <c r="S31" s="199"/>
      <c r="T31" s="199"/>
      <c r="U31" s="199"/>
    </row>
    <row r="32" spans="1:21" ht="15.75" customHeight="1" thickBot="1" x14ac:dyDescent="0.35">
      <c r="C32" s="164" t="s">
        <v>141</v>
      </c>
      <c r="D32" s="164" t="s">
        <v>142</v>
      </c>
      <c r="E32" s="164" t="s">
        <v>143</v>
      </c>
      <c r="F32" s="164" t="s">
        <v>144</v>
      </c>
      <c r="G32" s="164" t="s">
        <v>145</v>
      </c>
      <c r="H32" s="164" t="s">
        <v>146</v>
      </c>
      <c r="N32" s="198"/>
      <c r="O32" s="198"/>
      <c r="Q32" s="199"/>
      <c r="R32" s="199"/>
      <c r="S32" s="199"/>
      <c r="T32" s="199"/>
      <c r="U32" s="199"/>
    </row>
    <row r="33" spans="1:20" ht="15" thickBot="1" x14ac:dyDescent="0.35">
      <c r="C33" s="152" t="s">
        <v>119</v>
      </c>
      <c r="D33" s="157" t="s">
        <v>133</v>
      </c>
      <c r="E33" s="160" t="s">
        <v>134</v>
      </c>
      <c r="F33" s="160" t="s">
        <v>135</v>
      </c>
      <c r="G33" s="160" t="s">
        <v>136</v>
      </c>
      <c r="H33" s="161" t="s">
        <v>137</v>
      </c>
      <c r="I33" s="164">
        <v>6</v>
      </c>
    </row>
    <row r="34" spans="1:20" ht="15" thickBot="1" x14ac:dyDescent="0.35">
      <c r="A34" s="17" t="s">
        <v>86</v>
      </c>
      <c r="B34">
        <f>brief!G6</f>
        <v>0</v>
      </c>
      <c r="C34" s="153" t="s">
        <v>120</v>
      </c>
      <c r="D34" s="165">
        <f>IF(D$31,$B$35,0)</f>
        <v>0</v>
      </c>
      <c r="E34" s="165">
        <f t="shared" ref="E34:H34" si="1">IF(E$31,$B$35,0)</f>
        <v>0</v>
      </c>
      <c r="F34" s="165">
        <f t="shared" si="1"/>
        <v>0</v>
      </c>
      <c r="G34" s="165">
        <f t="shared" si="1"/>
        <v>0</v>
      </c>
      <c r="H34" s="165">
        <f t="shared" si="1"/>
        <v>0</v>
      </c>
      <c r="I34" s="164">
        <v>7</v>
      </c>
    </row>
    <row r="35" spans="1:20" ht="15" thickBot="1" x14ac:dyDescent="0.35">
      <c r="A35" s="17" t="s">
        <v>87</v>
      </c>
      <c r="B35">
        <f>brief!G7</f>
        <v>0</v>
      </c>
      <c r="C35" s="153" t="s">
        <v>121</v>
      </c>
      <c r="D35" s="165">
        <f>IF(D$31,$B$34,0)</f>
        <v>0</v>
      </c>
      <c r="E35" s="165">
        <f t="shared" ref="E35:H35" si="2">IF(E$31,$B$34,0)</f>
        <v>0</v>
      </c>
      <c r="F35" s="165">
        <f t="shared" si="2"/>
        <v>0</v>
      </c>
      <c r="G35" s="165">
        <f t="shared" si="2"/>
        <v>0</v>
      </c>
      <c r="H35" s="165">
        <f t="shared" si="2"/>
        <v>0</v>
      </c>
      <c r="I35" s="164">
        <v>8</v>
      </c>
    </row>
    <row r="36" spans="1:20" ht="15" thickBot="1" x14ac:dyDescent="0.35">
      <c r="A36" s="17" t="s">
        <v>88</v>
      </c>
      <c r="B36">
        <f>brief!G8</f>
        <v>0</v>
      </c>
      <c r="C36" s="153" t="s">
        <v>122</v>
      </c>
      <c r="D36" s="165">
        <f>IF(D$31,$B$41,0)</f>
        <v>0</v>
      </c>
      <c r="E36" s="165">
        <f t="shared" ref="E36:H36" si="3">IF(E$31,$B$41,0)</f>
        <v>0</v>
      </c>
      <c r="F36" s="165">
        <f t="shared" si="3"/>
        <v>0</v>
      </c>
      <c r="G36" s="165">
        <f t="shared" si="3"/>
        <v>0</v>
      </c>
      <c r="H36" s="165">
        <f t="shared" si="3"/>
        <v>0</v>
      </c>
      <c r="I36" s="164">
        <v>9</v>
      </c>
    </row>
    <row r="37" spans="1:20" ht="15" thickBot="1" x14ac:dyDescent="0.35">
      <c r="A37" s="17" t="s">
        <v>89</v>
      </c>
      <c r="B37">
        <f>brief!G9</f>
        <v>0</v>
      </c>
      <c r="C37" s="153" t="s">
        <v>123</v>
      </c>
      <c r="D37" s="165">
        <f>IF(D$31,$B$39,0)</f>
        <v>0</v>
      </c>
      <c r="E37" s="165">
        <f t="shared" ref="E37:H37" si="4">IF(E$31,$B$39,0)</f>
        <v>0</v>
      </c>
      <c r="F37" s="165">
        <f>IF(F$31,$B$39,0)</f>
        <v>0</v>
      </c>
      <c r="G37" s="165">
        <f t="shared" si="4"/>
        <v>0</v>
      </c>
      <c r="H37" s="165">
        <f t="shared" si="4"/>
        <v>0</v>
      </c>
      <c r="I37" s="164">
        <v>10</v>
      </c>
    </row>
    <row r="38" spans="1:20" ht="15" thickBot="1" x14ac:dyDescent="0.35">
      <c r="A38" s="17" t="s">
        <v>90</v>
      </c>
      <c r="B38">
        <f>brief!G10</f>
        <v>0</v>
      </c>
      <c r="C38" s="153" t="s">
        <v>124</v>
      </c>
      <c r="D38" s="165">
        <f>IF(D$31,$B$38,0)</f>
        <v>0</v>
      </c>
      <c r="E38" s="165">
        <f t="shared" ref="E38:H38" si="5">IF(E$31,$B$38,0)</f>
        <v>0</v>
      </c>
      <c r="F38" s="165">
        <f t="shared" si="5"/>
        <v>0</v>
      </c>
      <c r="G38" s="165">
        <f t="shared" si="5"/>
        <v>0</v>
      </c>
      <c r="H38" s="165">
        <f t="shared" si="5"/>
        <v>0</v>
      </c>
      <c r="I38" s="164">
        <v>11</v>
      </c>
      <c r="M38" t="s">
        <v>157</v>
      </c>
      <c r="N38" t="s">
        <v>158</v>
      </c>
      <c r="O38" t="s">
        <v>159</v>
      </c>
      <c r="P38" t="s">
        <v>160</v>
      </c>
      <c r="Q38" t="s">
        <v>161</v>
      </c>
      <c r="R38" t="s">
        <v>162</v>
      </c>
      <c r="S38" t="s">
        <v>163</v>
      </c>
      <c r="T38" s="178" t="s">
        <v>164</v>
      </c>
    </row>
    <row r="39" spans="1:20" ht="15" thickBot="1" x14ac:dyDescent="0.35">
      <c r="A39" s="17" t="s">
        <v>91</v>
      </c>
      <c r="B39">
        <f>brief!G11</f>
        <v>0</v>
      </c>
      <c r="C39" s="153" t="s">
        <v>125</v>
      </c>
      <c r="D39" s="165">
        <f>IF(D$31,$B$40,0)</f>
        <v>0</v>
      </c>
      <c r="E39" s="165">
        <f t="shared" ref="E39:H39" si="6">IF(E$31,$B$40,0)</f>
        <v>0</v>
      </c>
      <c r="F39" s="165">
        <f t="shared" si="6"/>
        <v>0</v>
      </c>
      <c r="G39" s="165">
        <f t="shared" si="6"/>
        <v>0</v>
      </c>
      <c r="H39" s="165">
        <f t="shared" si="6"/>
        <v>0</v>
      </c>
      <c r="I39" s="164">
        <v>12</v>
      </c>
      <c r="T39"/>
    </row>
    <row r="40" spans="1:20" ht="15" thickBot="1" x14ac:dyDescent="0.35">
      <c r="A40" s="17" t="s">
        <v>85</v>
      </c>
      <c r="B40">
        <f>brief!G12</f>
        <v>0</v>
      </c>
      <c r="C40" s="153" t="s">
        <v>126</v>
      </c>
      <c r="D40" s="165">
        <f>IF(D$31,$B$45,0)</f>
        <v>0</v>
      </c>
      <c r="E40" s="165">
        <f t="shared" ref="E40:H40" si="7">IF(E$31,$B$45,0)</f>
        <v>0</v>
      </c>
      <c r="F40" s="165">
        <f t="shared" si="7"/>
        <v>0</v>
      </c>
      <c r="G40" s="165">
        <f t="shared" si="7"/>
        <v>0</v>
      </c>
      <c r="H40" s="165">
        <f t="shared" si="7"/>
        <v>0</v>
      </c>
      <c r="I40" s="164">
        <v>13</v>
      </c>
      <c r="T40"/>
    </row>
    <row r="41" spans="1:20" ht="15" thickBot="1" x14ac:dyDescent="0.35">
      <c r="A41" s="17" t="s">
        <v>13</v>
      </c>
      <c r="B41">
        <f>brief!G13</f>
        <v>0</v>
      </c>
      <c r="C41" s="153" t="s">
        <v>127</v>
      </c>
      <c r="D41" s="165">
        <f>IF(D$31,$B$37,0)</f>
        <v>0</v>
      </c>
      <c r="E41" s="165">
        <f t="shared" ref="E41:H41" si="8">IF(E$31,$B$37,0)</f>
        <v>0</v>
      </c>
      <c r="F41" s="165">
        <f t="shared" si="8"/>
        <v>0</v>
      </c>
      <c r="G41" s="165">
        <f t="shared" si="8"/>
        <v>0</v>
      </c>
      <c r="H41" s="165">
        <f t="shared" si="8"/>
        <v>0</v>
      </c>
      <c r="I41" s="164">
        <v>14</v>
      </c>
      <c r="T41"/>
    </row>
    <row r="42" spans="1:20" ht="15" thickBot="1" x14ac:dyDescent="0.35">
      <c r="A42" s="17" t="s">
        <v>92</v>
      </c>
      <c r="B42">
        <f>brief!G14</f>
        <v>0</v>
      </c>
      <c r="C42" s="153" t="s">
        <v>128</v>
      </c>
      <c r="D42" s="165">
        <f>IF(D$31,$B$43,0)</f>
        <v>0</v>
      </c>
      <c r="E42" s="165">
        <f t="shared" ref="E42:H42" si="9">IF(E$31,$B$43,0)</f>
        <v>0</v>
      </c>
      <c r="F42" s="165">
        <f t="shared" si="9"/>
        <v>0</v>
      </c>
      <c r="G42" s="165">
        <f t="shared" si="9"/>
        <v>0</v>
      </c>
      <c r="H42" s="165">
        <f t="shared" si="9"/>
        <v>0</v>
      </c>
      <c r="I42" s="164">
        <v>15</v>
      </c>
      <c r="T42"/>
    </row>
    <row r="43" spans="1:20" ht="15" thickBot="1" x14ac:dyDescent="0.35">
      <c r="A43" s="17" t="s">
        <v>83</v>
      </c>
      <c r="B43">
        <f>brief!G15</f>
        <v>0</v>
      </c>
      <c r="C43" s="153" t="s">
        <v>129</v>
      </c>
      <c r="D43" s="165">
        <f>IF(D$31,$B$46,0)</f>
        <v>0</v>
      </c>
      <c r="E43" s="165">
        <f t="shared" ref="E43:H43" si="10">IF(E$31,$B$46,0)</f>
        <v>0</v>
      </c>
      <c r="F43" s="165">
        <f t="shared" si="10"/>
        <v>0</v>
      </c>
      <c r="G43" s="165">
        <f t="shared" si="10"/>
        <v>0</v>
      </c>
      <c r="H43" s="165">
        <f t="shared" si="10"/>
        <v>0</v>
      </c>
      <c r="I43" s="164">
        <v>16</v>
      </c>
      <c r="T43"/>
    </row>
    <row r="44" spans="1:20" ht="15.6" thickTop="1" thickBot="1" x14ac:dyDescent="0.35">
      <c r="A44" s="44" t="s">
        <v>10</v>
      </c>
      <c r="B44">
        <f>brief!G16</f>
        <v>0</v>
      </c>
      <c r="C44" s="153" t="s">
        <v>130</v>
      </c>
      <c r="D44" s="165">
        <f>IF(D$31,$B$36,0)</f>
        <v>0</v>
      </c>
      <c r="E44" s="165">
        <f t="shared" ref="E44:H44" si="11">IF(E$31,$B$36,0)</f>
        <v>0</v>
      </c>
      <c r="F44" s="165">
        <f t="shared" si="11"/>
        <v>0</v>
      </c>
      <c r="G44" s="165">
        <f t="shared" si="11"/>
        <v>0</v>
      </c>
      <c r="H44" s="165">
        <f t="shared" si="11"/>
        <v>0</v>
      </c>
      <c r="I44" s="164">
        <v>17</v>
      </c>
      <c r="T44"/>
    </row>
    <row r="45" spans="1:20" ht="15.6" thickTop="1" thickBot="1" x14ac:dyDescent="0.35">
      <c r="A45" s="17" t="s">
        <v>147</v>
      </c>
      <c r="C45" s="153" t="s">
        <v>131</v>
      </c>
      <c r="D45" s="165">
        <f>IF(D$31,$B$47,0)</f>
        <v>0</v>
      </c>
      <c r="E45" s="165">
        <f t="shared" ref="E45:H45" si="12">IF(E$31,$B$47,0)</f>
        <v>0</v>
      </c>
      <c r="F45" s="165">
        <f t="shared" si="12"/>
        <v>0</v>
      </c>
      <c r="G45" s="165">
        <f t="shared" si="12"/>
        <v>0</v>
      </c>
      <c r="H45" s="165">
        <f t="shared" si="12"/>
        <v>0</v>
      </c>
      <c r="I45" s="164">
        <v>18</v>
      </c>
      <c r="T45"/>
    </row>
    <row r="46" spans="1:20" ht="15" thickBot="1" x14ac:dyDescent="0.35">
      <c r="A46" s="17" t="s">
        <v>148</v>
      </c>
      <c r="C46" s="153" t="s">
        <v>28</v>
      </c>
      <c r="D46" s="165">
        <f>IF(D$31,$B$44,0)</f>
        <v>0</v>
      </c>
      <c r="E46" s="165">
        <f t="shared" ref="E46:H46" si="13">IF(E$31,$B$44,0)</f>
        <v>0</v>
      </c>
      <c r="F46" s="165">
        <f t="shared" si="13"/>
        <v>0</v>
      </c>
      <c r="G46" s="165">
        <f t="shared" si="13"/>
        <v>0</v>
      </c>
      <c r="H46" s="165">
        <f t="shared" si="13"/>
        <v>0</v>
      </c>
      <c r="I46" s="164">
        <v>19</v>
      </c>
      <c r="T46"/>
    </row>
    <row r="47" spans="1:20" ht="15" thickBot="1" x14ac:dyDescent="0.35">
      <c r="A47" s="17" t="s">
        <v>149</v>
      </c>
      <c r="C47" s="154" t="s">
        <v>132</v>
      </c>
      <c r="D47" s="158" t="s">
        <v>138</v>
      </c>
      <c r="E47" s="158" t="s">
        <v>138</v>
      </c>
      <c r="F47" s="158" t="s">
        <v>138</v>
      </c>
      <c r="G47" s="158" t="s">
        <v>138</v>
      </c>
      <c r="H47" s="162" t="s">
        <v>138</v>
      </c>
      <c r="I47" s="164">
        <v>20</v>
      </c>
      <c r="T47"/>
    </row>
    <row r="48" spans="1:20" ht="15" thickBot="1" x14ac:dyDescent="0.35">
      <c r="C48" s="155"/>
      <c r="D48" s="159" t="s">
        <v>133</v>
      </c>
      <c r="E48" s="159" t="s">
        <v>134</v>
      </c>
      <c r="F48" s="159" t="s">
        <v>135</v>
      </c>
      <c r="G48" s="159" t="s">
        <v>136</v>
      </c>
      <c r="H48" s="163" t="s">
        <v>137</v>
      </c>
      <c r="I48" s="164">
        <v>21</v>
      </c>
      <c r="T48"/>
    </row>
    <row r="49" spans="2:20" ht="15.75" customHeight="1" thickTop="1" thickBot="1" x14ac:dyDescent="0.35">
      <c r="B49" s="150">
        <f>Main!P15</f>
        <v>0</v>
      </c>
      <c r="C49" s="156" t="s">
        <v>139</v>
      </c>
      <c r="D49" s="150">
        <f>IF(D$31,$B$49,0)</f>
        <v>0</v>
      </c>
      <c r="E49" s="150">
        <f t="shared" ref="E49:H49" si="14">IF(E$31,$B$49,0)</f>
        <v>0</v>
      </c>
      <c r="F49" s="150">
        <f t="shared" si="14"/>
        <v>0</v>
      </c>
      <c r="G49" s="150">
        <f t="shared" si="14"/>
        <v>0</v>
      </c>
      <c r="H49" s="150">
        <f t="shared" si="14"/>
        <v>0</v>
      </c>
      <c r="I49" s="164">
        <v>22</v>
      </c>
      <c r="T49"/>
    </row>
    <row r="50" spans="2:20" ht="15.75" customHeight="1" thickTop="1" thickBot="1" x14ac:dyDescent="0.35">
      <c r="B50" s="151">
        <f>SUM(Main!P19:P20)</f>
        <v>4.1666666666666664E-2</v>
      </c>
      <c r="C50" s="156" t="s">
        <v>140</v>
      </c>
      <c r="D50" s="150">
        <f>IF(D$31,$B$50,0)</f>
        <v>0</v>
      </c>
      <c r="E50" s="150">
        <f t="shared" ref="E50:H50" si="15">IF(E$31,$B$50,0)</f>
        <v>0</v>
      </c>
      <c r="F50" s="150">
        <f t="shared" si="15"/>
        <v>0</v>
      </c>
      <c r="G50" s="150">
        <f t="shared" si="15"/>
        <v>0</v>
      </c>
      <c r="H50" s="150">
        <f t="shared" si="15"/>
        <v>0</v>
      </c>
      <c r="I50" s="164">
        <v>23</v>
      </c>
      <c r="T50"/>
    </row>
    <row r="51" spans="2:20" x14ac:dyDescent="0.3">
      <c r="B51" t="e">
        <f>brief!AF31</f>
        <v>#VALUE!</v>
      </c>
      <c r="C51" s="156" t="s">
        <v>155</v>
      </c>
      <c r="D51" s="167">
        <f>IF(D$31,$B$51,0)</f>
        <v>0</v>
      </c>
      <c r="E51" s="167">
        <f t="shared" ref="E51:H51" si="16">IF(E$31,$B$51,0)</f>
        <v>0</v>
      </c>
      <c r="F51" s="167">
        <f t="shared" si="16"/>
        <v>0</v>
      </c>
      <c r="G51" s="167">
        <f t="shared" si="16"/>
        <v>0</v>
      </c>
      <c r="H51" s="167">
        <f t="shared" si="16"/>
        <v>0</v>
      </c>
      <c r="I51" s="164"/>
      <c r="T51"/>
    </row>
    <row r="52" spans="2:20" x14ac:dyDescent="0.3">
      <c r="D52" s="164" t="s">
        <v>150</v>
      </c>
      <c r="E52" s="164" t="s">
        <v>151</v>
      </c>
      <c r="F52" s="164" t="s">
        <v>152</v>
      </c>
      <c r="G52" s="164" t="s">
        <v>153</v>
      </c>
      <c r="H52" s="164" t="s">
        <v>154</v>
      </c>
      <c r="T52"/>
    </row>
    <row r="53" spans="2:20" x14ac:dyDescent="0.3">
      <c r="T53"/>
    </row>
    <row r="54" spans="2:20" x14ac:dyDescent="0.3">
      <c r="T54"/>
    </row>
    <row r="55" spans="2:20" x14ac:dyDescent="0.3">
      <c r="T55"/>
    </row>
    <row r="56" spans="2:20" x14ac:dyDescent="0.3">
      <c r="T56"/>
    </row>
    <row r="57" spans="2:20" x14ac:dyDescent="0.3">
      <c r="T57"/>
    </row>
    <row r="58" spans="2:20" x14ac:dyDescent="0.3">
      <c r="T58"/>
    </row>
    <row r="59" spans="2:20" x14ac:dyDescent="0.3">
      <c r="T59"/>
    </row>
    <row r="60" spans="2:20" x14ac:dyDescent="0.3">
      <c r="T60"/>
    </row>
    <row r="61" spans="2:20" x14ac:dyDescent="0.3">
      <c r="T61"/>
    </row>
    <row r="62" spans="2:20" x14ac:dyDescent="0.3">
      <c r="T62"/>
    </row>
    <row r="63" spans="2:20" x14ac:dyDescent="0.3">
      <c r="T63"/>
    </row>
    <row r="64" spans="2:20" x14ac:dyDescent="0.3">
      <c r="T64"/>
    </row>
    <row r="65" spans="20:20" x14ac:dyDescent="0.3">
      <c r="T65"/>
    </row>
    <row r="66" spans="20:20" x14ac:dyDescent="0.3">
      <c r="T66"/>
    </row>
    <row r="67" spans="20:20" x14ac:dyDescent="0.3">
      <c r="T67"/>
    </row>
    <row r="68" spans="20:20" x14ac:dyDescent="0.3">
      <c r="T68"/>
    </row>
    <row r="69" spans="20:20" x14ac:dyDescent="0.3">
      <c r="T69"/>
    </row>
    <row r="70" spans="20:20" x14ac:dyDescent="0.3">
      <c r="T70"/>
    </row>
    <row r="71" spans="20:20" x14ac:dyDescent="0.3">
      <c r="T71"/>
    </row>
    <row r="72" spans="20:20" x14ac:dyDescent="0.3">
      <c r="T72"/>
    </row>
    <row r="73" spans="20:20" x14ac:dyDescent="0.3">
      <c r="T73"/>
    </row>
    <row r="74" spans="20:20" x14ac:dyDescent="0.3">
      <c r="T74"/>
    </row>
    <row r="75" spans="20:20" x14ac:dyDescent="0.3">
      <c r="T75"/>
    </row>
    <row r="76" spans="20:20" x14ac:dyDescent="0.3">
      <c r="T76"/>
    </row>
    <row r="77" spans="20:20" x14ac:dyDescent="0.3">
      <c r="T77"/>
    </row>
    <row r="78" spans="20:20" x14ac:dyDescent="0.3">
      <c r="T78"/>
    </row>
    <row r="79" spans="20:20" x14ac:dyDescent="0.3">
      <c r="T79"/>
    </row>
    <row r="80" spans="20:20" x14ac:dyDescent="0.3">
      <c r="T80"/>
    </row>
    <row r="81" spans="20:20" x14ac:dyDescent="0.3">
      <c r="T81"/>
    </row>
    <row r="82" spans="20:20" x14ac:dyDescent="0.3">
      <c r="T82"/>
    </row>
    <row r="83" spans="20:20" x14ac:dyDescent="0.3">
      <c r="T83"/>
    </row>
    <row r="84" spans="20:20" x14ac:dyDescent="0.3">
      <c r="T84"/>
    </row>
    <row r="85" spans="20:20" x14ac:dyDescent="0.3">
      <c r="T85"/>
    </row>
    <row r="86" spans="20:20" x14ac:dyDescent="0.3">
      <c r="T86"/>
    </row>
    <row r="87" spans="20:20" x14ac:dyDescent="0.3">
      <c r="T87"/>
    </row>
    <row r="88" spans="20:20" x14ac:dyDescent="0.3">
      <c r="T88"/>
    </row>
    <row r="89" spans="20:20" x14ac:dyDescent="0.3">
      <c r="T89"/>
    </row>
    <row r="90" spans="20:20" x14ac:dyDescent="0.3">
      <c r="T90"/>
    </row>
    <row r="91" spans="20:20" x14ac:dyDescent="0.3">
      <c r="T91"/>
    </row>
    <row r="92" spans="20:20" x14ac:dyDescent="0.3">
      <c r="T92"/>
    </row>
    <row r="93" spans="20:20" x14ac:dyDescent="0.3">
      <c r="T93"/>
    </row>
    <row r="94" spans="20:20" x14ac:dyDescent="0.3">
      <c r="T94"/>
    </row>
    <row r="95" spans="20:20" x14ac:dyDescent="0.3">
      <c r="T95"/>
    </row>
    <row r="96" spans="20:20" x14ac:dyDescent="0.3">
      <c r="T96"/>
    </row>
    <row r="97" spans="20:20" x14ac:dyDescent="0.3">
      <c r="T97"/>
    </row>
    <row r="98" spans="20:20" x14ac:dyDescent="0.3">
      <c r="T98"/>
    </row>
    <row r="99" spans="20:20" x14ac:dyDescent="0.3">
      <c r="T99"/>
    </row>
    <row r="100" spans="20:20" x14ac:dyDescent="0.3">
      <c r="T100"/>
    </row>
  </sheetData>
  <mergeCells count="2">
    <mergeCell ref="N11:O32"/>
    <mergeCell ref="Q11:U32"/>
  </mergeCells>
  <conditionalFormatting sqref="A34:A47">
    <cfRule type="containsBlanks" dxfId="72" priority="2">
      <formula>LEN(TRIM(A34))=0</formula>
    </cfRule>
    <cfRule type="containsBlanks" dxfId="71" priority="5">
      <formula>LEN(TRIM(A34))=0</formula>
    </cfRule>
  </conditionalFormatting>
  <conditionalFormatting sqref="A34:A43 A45:A47">
    <cfRule type="notContainsBlanks" dxfId="70" priority="4">
      <formula>LEN(TRIM(A34))&gt;0</formula>
    </cfRule>
  </conditionalFormatting>
  <conditionalFormatting sqref="A44">
    <cfRule type="notContainsBlanks" dxfId="69" priority="3">
      <formula>LEN(TRIM(A44))&gt;0</formula>
    </cfRule>
  </conditionalFormatting>
  <pageMargins left="0.7" right="0.7" top="0.75" bottom="0.75" header="0.3" footer="0.3"/>
  <pageSetup scale="32" fitToHeight="0" orientation="landscape" r:id="rId1"/>
  <ignoredErrors>
    <ignoredError sqref="D34:H36 D51:H51 D38:H46 D37:E37 G37:H3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IZER">
                <anchor moveWithCells="1" sizeWithCells="1">
                  <from>
                    <xdr:col>17</xdr:col>
                    <xdr:colOff>1257300</xdr:colOff>
                    <xdr:row>1</xdr:row>
                    <xdr:rowOff>7620</xdr:rowOff>
                  </from>
                  <to>
                    <xdr:col>19</xdr:col>
                    <xdr:colOff>579120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6344A-620B-401E-B237-611727BF5C57}">
  <sheetPr codeName="Sheet5"/>
  <dimension ref="A1:Z65"/>
  <sheetViews>
    <sheetView workbookViewId="0">
      <selection sqref="A1:J1"/>
    </sheetView>
  </sheetViews>
  <sheetFormatPr defaultRowHeight="14.4" x14ac:dyDescent="0.3"/>
  <cols>
    <col min="1" max="1" width="12" bestFit="1" customWidth="1"/>
    <col min="2" max="2" width="8.5546875" bestFit="1" customWidth="1"/>
    <col min="3" max="3" width="3.44140625" bestFit="1" customWidth="1"/>
    <col min="4" max="4" width="11.109375" bestFit="1" customWidth="1"/>
    <col min="5" max="5" width="8.6640625" bestFit="1" customWidth="1"/>
    <col min="6" max="6" width="9.6640625" bestFit="1" customWidth="1"/>
    <col min="7" max="7" width="7.44140625" bestFit="1" customWidth="1"/>
    <col min="8" max="8" width="9.5546875" bestFit="1" customWidth="1"/>
    <col min="9" max="9" width="10.88671875" bestFit="1" customWidth="1"/>
    <col min="10" max="10" width="9" bestFit="1" customWidth="1"/>
    <col min="12" max="12" width="9.109375" bestFit="1" customWidth="1"/>
    <col min="13" max="13" width="25.33203125" bestFit="1" customWidth="1"/>
    <col min="14" max="14" width="7.109375" customWidth="1"/>
    <col min="15" max="15" width="11.109375" bestFit="1" customWidth="1"/>
    <col min="16" max="16" width="8.6640625" bestFit="1" customWidth="1"/>
    <col min="17" max="17" width="9.6640625" bestFit="1" customWidth="1"/>
    <col min="18" max="18" width="7.44140625" bestFit="1" customWidth="1"/>
    <col min="19" max="19" width="9.5546875" bestFit="1" customWidth="1"/>
    <col min="20" max="20" width="10.88671875" bestFit="1" customWidth="1"/>
    <col min="21" max="21" width="9" bestFit="1" customWidth="1"/>
    <col min="23" max="23" width="12.6640625" bestFit="1" customWidth="1"/>
    <col min="24" max="24" width="13.109375" bestFit="1" customWidth="1"/>
    <col min="25" max="26" width="12.88671875" bestFit="1" customWidth="1"/>
    <col min="27" max="27" width="12.6640625" bestFit="1" customWidth="1"/>
    <col min="28" max="28" width="12.88671875" bestFit="1" customWidth="1"/>
    <col min="29" max="31" width="12.6640625" bestFit="1" customWidth="1"/>
    <col min="32" max="32" width="12.88671875" bestFit="1" customWidth="1"/>
    <col min="34" max="34" width="12.33203125" bestFit="1" customWidth="1"/>
    <col min="35" max="35" width="12.6640625" bestFit="1" customWidth="1"/>
    <col min="36" max="37" width="12.5546875" bestFit="1" customWidth="1"/>
    <col min="38" max="38" width="12.33203125" bestFit="1" customWidth="1"/>
    <col min="39" max="39" width="12.5546875" bestFit="1" customWidth="1"/>
    <col min="40" max="42" width="12.33203125" bestFit="1" customWidth="1"/>
    <col min="43" max="43" width="12.5546875" bestFit="1" customWidth="1"/>
  </cols>
  <sheetData>
    <row r="1" spans="1:26" ht="21.6" x14ac:dyDescent="0.45">
      <c r="A1" s="200" t="s">
        <v>100</v>
      </c>
      <c r="B1" s="200"/>
      <c r="C1" s="200"/>
      <c r="D1" s="200"/>
      <c r="E1" s="200"/>
      <c r="F1" s="200"/>
      <c r="G1" s="200"/>
      <c r="H1" s="200"/>
      <c r="I1" s="200"/>
      <c r="J1" s="200"/>
      <c r="L1" s="200" t="s">
        <v>101</v>
      </c>
      <c r="M1" s="200"/>
      <c r="N1" s="200"/>
      <c r="O1" s="200"/>
      <c r="P1" s="200"/>
      <c r="Q1" s="200"/>
      <c r="R1" s="200"/>
      <c r="S1" s="200"/>
      <c r="T1" s="200"/>
      <c r="U1" s="200"/>
    </row>
    <row r="2" spans="1:26" x14ac:dyDescent="0.3">
      <c r="A2" s="53" t="s">
        <v>86</v>
      </c>
      <c r="B2" s="54" t="s">
        <v>87</v>
      </c>
      <c r="C2" s="53" t="s">
        <v>88</v>
      </c>
      <c r="D2" s="53" t="s">
        <v>89</v>
      </c>
      <c r="E2" s="53" t="s">
        <v>90</v>
      </c>
      <c r="F2" s="55" t="s">
        <v>91</v>
      </c>
      <c r="G2" s="55" t="s">
        <v>85</v>
      </c>
      <c r="H2" s="55" t="s">
        <v>13</v>
      </c>
      <c r="I2" s="55" t="s">
        <v>92</v>
      </c>
      <c r="J2" s="55" t="s">
        <v>83</v>
      </c>
      <c r="L2" s="53" t="s">
        <v>86</v>
      </c>
      <c r="M2" s="54" t="s">
        <v>87</v>
      </c>
      <c r="N2" s="53" t="s">
        <v>88</v>
      </c>
      <c r="O2" s="53" t="s">
        <v>89</v>
      </c>
      <c r="P2" s="53" t="s">
        <v>90</v>
      </c>
      <c r="Q2" s="55" t="s">
        <v>91</v>
      </c>
      <c r="R2" s="55" t="s">
        <v>85</v>
      </c>
      <c r="S2" s="55" t="s">
        <v>13</v>
      </c>
      <c r="T2" s="55" t="s">
        <v>92</v>
      </c>
      <c r="U2" s="55" t="s">
        <v>83</v>
      </c>
      <c r="W2" s="55" t="s">
        <v>105</v>
      </c>
      <c r="X2" s="55" t="s">
        <v>106</v>
      </c>
      <c r="Y2" s="55" t="s">
        <v>107</v>
      </c>
      <c r="Z2" s="55" t="s">
        <v>110</v>
      </c>
    </row>
    <row r="3" spans="1:26" x14ac:dyDescent="0.3">
      <c r="A3" s="16" t="str">
        <f>IF(ISNUMBER(SEARCH($A$2, Main!G30)), Main!E30, "")</f>
        <v/>
      </c>
      <c r="B3" s="16" t="str">
        <f>IF(ISNUMBER(SEARCH($B$2, Main!G30)), Main!E30, "")</f>
        <v/>
      </c>
      <c r="C3" s="16" t="str">
        <f>IF(ISNUMBER(SEARCH($C$2, Main!G30)), Main!E30, "")</f>
        <v/>
      </c>
      <c r="D3" s="16" t="str">
        <f>IF(ISNUMBER(SEARCH($D$2, Main!G30)), Main!E30, "")</f>
        <v/>
      </c>
      <c r="E3" s="16" t="str">
        <f>IF(ISNUMBER(SEARCH($E$2, Main!G30)), Main!E30, "")</f>
        <v/>
      </c>
      <c r="F3" s="16" t="str">
        <f>IF(ISNUMBER(SEARCH($F$2, Main!G30)), Main!E30, "")</f>
        <v/>
      </c>
      <c r="G3" s="16" t="str">
        <f>IF(ISNUMBER(SEARCH($G$2, Main!G30)), Main!E30, "")</f>
        <v/>
      </c>
      <c r="H3" s="16" t="str">
        <f>IF(ISNUMBER(SEARCH($H$2, Main!G30)), Main!E30, "")</f>
        <v/>
      </c>
      <c r="I3" s="16" t="str">
        <f>IF(ISNUMBER(SEARCH($I$2, Main!G30)), Main!E30, "")</f>
        <v/>
      </c>
      <c r="J3" s="16" t="str">
        <f>IF(ISNUMBER(SEARCH($J$2, Main!G30)), Main!E30, "")</f>
        <v/>
      </c>
      <c r="L3" s="16" t="str">
        <f>IF(ISNUMBER(SEARCH($L$2, Main!G30)), Main!H30, "")</f>
        <v/>
      </c>
      <c r="M3" s="16" t="str">
        <f>IF(ISNUMBER(SEARCH($M$2, Main!G30)), Main!H30, "")</f>
        <v/>
      </c>
      <c r="N3" s="16" t="str">
        <f>IF(ISNUMBER(SEARCH($N$2, Main!G30)), Main!H30, "")</f>
        <v/>
      </c>
      <c r="O3" s="16" t="str">
        <f>IF(ISNUMBER(SEARCH($O$2, Main!G30)), Main!H30, "")</f>
        <v/>
      </c>
      <c r="P3" s="16" t="str">
        <f>IF(ISNUMBER(SEARCH($P$2, Main!G30)), Main!H30, "")</f>
        <v/>
      </c>
      <c r="Q3" s="16" t="str">
        <f>IF(ISNUMBER(SEARCH($Q$2, Main!G30)), Main!H30, "")</f>
        <v/>
      </c>
      <c r="R3" s="16" t="str">
        <f>IF(ISNUMBER(SEARCH($R$2, Main!G30)), Main!H30, "")</f>
        <v/>
      </c>
      <c r="S3" s="16" t="str">
        <f>IF(ISNUMBER(SEARCH($S$2, Main!G30)), Main!H30, "")</f>
        <v/>
      </c>
      <c r="T3" s="16" t="str">
        <f>IF(ISNUMBER(SEARCH($T$2, Main!G30)), Main!H30, "")</f>
        <v/>
      </c>
      <c r="U3" s="16" t="str">
        <f>IF(ISNUMBER(SEARCH($U$2, Main!G30)), Main!H30, "")</f>
        <v/>
      </c>
      <c r="W3">
        <f>IF(Main!C30="RTV",Main!E30,0)</f>
        <v>0</v>
      </c>
      <c r="X3">
        <f>IF(Main!C30="PRV",Main!E30,0)</f>
        <v>0</v>
      </c>
      <c r="Y3">
        <f>IF(Main!C30="RMA",Main!E30,0)</f>
        <v>0</v>
      </c>
      <c r="Z3">
        <f>IF(Main!C30="PRV",Main!H30,0)</f>
        <v>0</v>
      </c>
    </row>
    <row r="4" spans="1:26" x14ac:dyDescent="0.3">
      <c r="A4" s="16" t="str">
        <f>IF(ISNUMBER(SEARCH($A$2, Main!G31)), Main!E31, "")</f>
        <v/>
      </c>
      <c r="B4" s="16" t="str">
        <f>IF(ISNUMBER(SEARCH($B$2, Main!G31)), Main!E31, "")</f>
        <v/>
      </c>
      <c r="C4" s="16" t="str">
        <f>IF(ISNUMBER(SEARCH($C$2, Main!G31)), Main!E31, "")</f>
        <v/>
      </c>
      <c r="D4" s="16" t="str">
        <f>IF(ISNUMBER(SEARCH($D$2, Main!G31)), Main!E31, "")</f>
        <v/>
      </c>
      <c r="E4" s="16" t="str">
        <f>IF(ISNUMBER(SEARCH($E$2, Main!G31)), Main!E31, "")</f>
        <v/>
      </c>
      <c r="F4" s="16" t="str">
        <f>IF(ISNUMBER(SEARCH($F$2, Main!G31)), Main!E31, "")</f>
        <v/>
      </c>
      <c r="G4" s="16" t="str">
        <f>IF(ISNUMBER(SEARCH($G$2, Main!G31)), Main!E31, "")</f>
        <v/>
      </c>
      <c r="H4" s="16" t="str">
        <f>IF(ISNUMBER(SEARCH($H$2, Main!G31)), Main!E31, "")</f>
        <v/>
      </c>
      <c r="I4" s="16" t="str">
        <f>IF(ISNUMBER(SEARCH($I$2, Main!G31)), Main!E31, "")</f>
        <v/>
      </c>
      <c r="J4" s="16" t="str">
        <f>IF(ISNUMBER(SEARCH($J$2, Main!G31)), Main!E31, "")</f>
        <v/>
      </c>
      <c r="L4" s="16" t="str">
        <f>IF(ISNUMBER(SEARCH($L$2, Main!G31)), Main!H31, "")</f>
        <v/>
      </c>
      <c r="M4" s="16" t="str">
        <f>IF(ISNUMBER(SEARCH($M$2, Main!G31)), Main!H31, "")</f>
        <v/>
      </c>
      <c r="N4" s="16" t="str">
        <f>IF(ISNUMBER(SEARCH($N$2, Main!G31)), Main!H31, "")</f>
        <v/>
      </c>
      <c r="O4" s="16" t="str">
        <f>IF(ISNUMBER(SEARCH($O$2, Main!G31)), Main!H31, "")</f>
        <v/>
      </c>
      <c r="P4" s="16" t="str">
        <f>IF(ISNUMBER(SEARCH($P$2, Main!G31)), Main!H31, "")</f>
        <v/>
      </c>
      <c r="Q4" s="16" t="str">
        <f>IF(ISNUMBER(SEARCH($Q$2, Main!G31)), Main!H31, "")</f>
        <v/>
      </c>
      <c r="R4" s="16" t="str">
        <f>IF(ISNUMBER(SEARCH($R$2, Main!G31)), Main!H31, "")</f>
        <v/>
      </c>
      <c r="S4" s="16" t="str">
        <f>IF(ISNUMBER(SEARCH($S$2, Main!G31)), Main!H31, "")</f>
        <v/>
      </c>
      <c r="T4" s="16" t="str">
        <f>IF(ISNUMBER(SEARCH($T$2, Main!G31)), Main!H31, "")</f>
        <v/>
      </c>
      <c r="U4" s="16" t="str">
        <f>IF(ISNUMBER(SEARCH($U$2, Main!G31)), Main!H31, "")</f>
        <v/>
      </c>
      <c r="W4">
        <f>IF(Main!C31="RTV",Main!E31,0)</f>
        <v>0</v>
      </c>
      <c r="X4">
        <f>IF(Main!C31="PRV",Main!E31,0)</f>
        <v>0</v>
      </c>
      <c r="Y4">
        <f>IF(Main!C31="RMA",Main!E31,0)</f>
        <v>0</v>
      </c>
      <c r="Z4">
        <f>IF(Main!C31="PRV",Main!H31,0)</f>
        <v>0</v>
      </c>
    </row>
    <row r="5" spans="1:26" x14ac:dyDescent="0.3">
      <c r="A5" s="16" t="str">
        <f>IF(ISNUMBER(SEARCH($A$2, Main!G32)), Main!E32, "")</f>
        <v/>
      </c>
      <c r="B5" s="16" t="str">
        <f>IF(ISNUMBER(SEARCH($B$2, Main!G32)), Main!E32, "")</f>
        <v/>
      </c>
      <c r="C5" s="16" t="str">
        <f>IF(ISNUMBER(SEARCH($C$2, Main!G32)), Main!E32, "")</f>
        <v/>
      </c>
      <c r="D5" s="16" t="str">
        <f>IF(ISNUMBER(SEARCH($D$2, Main!G32)), Main!E32, "")</f>
        <v/>
      </c>
      <c r="E5" s="16" t="str">
        <f>IF(ISNUMBER(SEARCH($E$2, Main!G32)), Main!E32, "")</f>
        <v/>
      </c>
      <c r="F5" s="16" t="str">
        <f>IF(ISNUMBER(SEARCH($F$2, Main!G32)), Main!E32, "")</f>
        <v/>
      </c>
      <c r="G5" s="16" t="str">
        <f>IF(ISNUMBER(SEARCH($G$2, Main!G32)), Main!E32, "")</f>
        <v/>
      </c>
      <c r="H5" s="16" t="str">
        <f>IF(ISNUMBER(SEARCH($H$2, Main!G32)), Main!E32, "")</f>
        <v/>
      </c>
      <c r="I5" s="16" t="str">
        <f>IF(ISNUMBER(SEARCH($I$2, Main!G32)), Main!E32, "")</f>
        <v/>
      </c>
      <c r="J5" s="16" t="str">
        <f>IF(ISNUMBER(SEARCH($J$2, Main!G32)), Main!E32, "")</f>
        <v/>
      </c>
      <c r="L5" s="16" t="str">
        <f>IF(ISNUMBER(SEARCH($L$2, Main!G32)), Main!H32, "")</f>
        <v/>
      </c>
      <c r="M5" s="16" t="str">
        <f>IF(ISNUMBER(SEARCH($M$2, Main!G32)), Main!H32, "")</f>
        <v/>
      </c>
      <c r="N5" s="16" t="str">
        <f>IF(ISNUMBER(SEARCH($N$2, Main!G32)), Main!H32, "")</f>
        <v/>
      </c>
      <c r="O5" s="16" t="str">
        <f>IF(ISNUMBER(SEARCH($O$2, Main!G32)), Main!H32, "")</f>
        <v/>
      </c>
      <c r="P5" s="16" t="str">
        <f>IF(ISNUMBER(SEARCH($P$2, Main!G32)), Main!H32, "")</f>
        <v/>
      </c>
      <c r="Q5" s="16" t="str">
        <f>IF(ISNUMBER(SEARCH($Q$2, Main!G32)), Main!H32, "")</f>
        <v/>
      </c>
      <c r="R5" s="16" t="str">
        <f>IF(ISNUMBER(SEARCH($R$2, Main!G32)), Main!H32, "")</f>
        <v/>
      </c>
      <c r="S5" s="16" t="str">
        <f>IF(ISNUMBER(SEARCH($S$2, Main!G32)), Main!H32, "")</f>
        <v/>
      </c>
      <c r="T5" s="16" t="str">
        <f>IF(ISNUMBER(SEARCH($T$2, Main!G32)), Main!H32, "")</f>
        <v/>
      </c>
      <c r="U5" s="16" t="str">
        <f>IF(ISNUMBER(SEARCH($U$2, Main!G32)), Main!H32, "")</f>
        <v/>
      </c>
      <c r="W5">
        <f>IF(Main!C32="RTV",Main!E32,0)</f>
        <v>0</v>
      </c>
      <c r="X5">
        <f>IF(Main!C32="PRV",Main!E32,0)</f>
        <v>0</v>
      </c>
      <c r="Y5">
        <f>IF(Main!C32="RMA",Main!E32,0)</f>
        <v>0</v>
      </c>
      <c r="Z5">
        <f>IF(Main!C32="PRV",Main!H32,0)</f>
        <v>0</v>
      </c>
    </row>
    <row r="6" spans="1:26" x14ac:dyDescent="0.3">
      <c r="A6" s="16" t="str">
        <f>IF(ISNUMBER(SEARCH($A$2, Main!#REF!)), Main!#REF!, "")</f>
        <v/>
      </c>
      <c r="B6" s="16" t="str">
        <f>IF(ISNUMBER(SEARCH($B$2, Main!#REF!)), Main!#REF!, "")</f>
        <v/>
      </c>
      <c r="C6" s="16" t="str">
        <f>IF(ISNUMBER(SEARCH($C$2, Main!#REF!)), Main!#REF!, "")</f>
        <v/>
      </c>
      <c r="D6" s="16" t="str">
        <f>IF(ISNUMBER(SEARCH($D$2, Main!#REF!)), Main!#REF!, "")</f>
        <v/>
      </c>
      <c r="E6" s="16" t="str">
        <f>IF(ISNUMBER(SEARCH($E$2, Main!#REF!)), Main!#REF!, "")</f>
        <v/>
      </c>
      <c r="F6" s="16" t="str">
        <f>IF(ISNUMBER(SEARCH($F$2, Main!#REF!)), Main!#REF!, "")</f>
        <v/>
      </c>
      <c r="G6" s="16" t="str">
        <f>IF(ISNUMBER(SEARCH($G$2, Main!#REF!)), Main!#REF!, "")</f>
        <v/>
      </c>
      <c r="H6" s="16" t="str">
        <f>IF(ISNUMBER(SEARCH($H$2, Main!#REF!)), Main!#REF!, "")</f>
        <v/>
      </c>
      <c r="I6" s="16" t="str">
        <f>IF(ISNUMBER(SEARCH($I$2, Main!#REF!)), Main!#REF!, "")</f>
        <v/>
      </c>
      <c r="J6" s="16" t="str">
        <f>IF(ISNUMBER(SEARCH($J$2, Main!#REF!)), Main!#REF!, "")</f>
        <v/>
      </c>
      <c r="L6" s="16" t="str">
        <f>IF(ISNUMBER(SEARCH($L$2, Main!#REF!)), Main!#REF!, "")</f>
        <v/>
      </c>
      <c r="M6" s="16" t="str">
        <f>IF(ISNUMBER(SEARCH($M$2, Main!#REF!)), Main!#REF!, "")</f>
        <v/>
      </c>
      <c r="N6" s="16" t="str">
        <f>IF(ISNUMBER(SEARCH($N$2, Main!#REF!)), Main!#REF!, "")</f>
        <v/>
      </c>
      <c r="O6" s="16" t="str">
        <f>IF(ISNUMBER(SEARCH($O$2, Main!#REF!)), Main!#REF!, "")</f>
        <v/>
      </c>
      <c r="P6" s="16" t="str">
        <f>IF(ISNUMBER(SEARCH($P$2, Main!#REF!)), Main!#REF!, "")</f>
        <v/>
      </c>
      <c r="Q6" s="16" t="str">
        <f>IF(ISNUMBER(SEARCH($Q$2, Main!#REF!)), Main!#REF!, "")</f>
        <v/>
      </c>
      <c r="R6" s="16" t="str">
        <f>IF(ISNUMBER(SEARCH($R$2, Main!#REF!)), Main!#REF!, "")</f>
        <v/>
      </c>
      <c r="S6" s="16" t="str">
        <f>IF(ISNUMBER(SEARCH($S$2, Main!#REF!)), Main!#REF!, "")</f>
        <v/>
      </c>
      <c r="T6" s="16" t="str">
        <f>IF(ISNUMBER(SEARCH($T$2, Main!#REF!)), Main!#REF!, "")</f>
        <v/>
      </c>
      <c r="U6" s="16" t="str">
        <f>IF(ISNUMBER(SEARCH($U$2, Main!#REF!)), Main!#REF!, "")</f>
        <v/>
      </c>
      <c r="W6">
        <f>IF(Main!C33="RTV",Main!E33,0)</f>
        <v>0</v>
      </c>
      <c r="X6">
        <f>IF(Main!C33="PRV",Main!E33,0)</f>
        <v>0</v>
      </c>
      <c r="Y6">
        <f>IF(Main!C33="RMA",Main!E33,0)</f>
        <v>0</v>
      </c>
      <c r="Z6">
        <f>IF(Main!C33="PRV",Main!H33,0)</f>
        <v>0</v>
      </c>
    </row>
    <row r="7" spans="1:26" x14ac:dyDescent="0.3">
      <c r="A7" s="16" t="str">
        <f>IF(ISNUMBER(SEARCH($A$2, Main!G33)), Main!E33, "")</f>
        <v/>
      </c>
      <c r="B7" s="16" t="str">
        <f>IF(ISNUMBER(SEARCH($B$2, Main!G33)), Main!E33, "")</f>
        <v/>
      </c>
      <c r="C7" s="16" t="str">
        <f>IF(ISNUMBER(SEARCH($C$2, Main!G33)), Main!E33, "")</f>
        <v/>
      </c>
      <c r="D7" s="16" t="str">
        <f>IF(ISNUMBER(SEARCH($D$2, Main!G33)), Main!E33, "")</f>
        <v/>
      </c>
      <c r="E7" s="16" t="str">
        <f>IF(ISNUMBER(SEARCH($E$2, Main!G33)), Main!E33, "")</f>
        <v/>
      </c>
      <c r="F7" s="16" t="str">
        <f>IF(ISNUMBER(SEARCH($F$2, Main!G33)), Main!E33, "")</f>
        <v/>
      </c>
      <c r="G7" s="16" t="str">
        <f>IF(ISNUMBER(SEARCH($G$2, Main!G33)), Main!E33, "")</f>
        <v/>
      </c>
      <c r="H7" s="16" t="str">
        <f>IF(ISNUMBER(SEARCH($H$2, Main!G33)), Main!E33, "")</f>
        <v/>
      </c>
      <c r="I7" s="16" t="str">
        <f>IF(ISNUMBER(SEARCH($I$2, Main!G33)), Main!E33, "")</f>
        <v/>
      </c>
      <c r="J7" s="16" t="str">
        <f>IF(ISNUMBER(SEARCH($J$2, Main!G33)), Main!E33, "")</f>
        <v/>
      </c>
      <c r="L7" s="16" t="str">
        <f>IF(ISNUMBER(SEARCH($L$2, Main!G33)), Main!H33, "")</f>
        <v/>
      </c>
      <c r="M7" s="16" t="str">
        <f>IF(ISNUMBER(SEARCH($M$2, Main!G33)), Main!H33, "")</f>
        <v/>
      </c>
      <c r="N7" s="16" t="str">
        <f>IF(ISNUMBER(SEARCH($N$2, Main!G33)), Main!H33, "")</f>
        <v/>
      </c>
      <c r="O7" s="16" t="str">
        <f>IF(ISNUMBER(SEARCH($O$2, Main!G33)), Main!H33, "")</f>
        <v/>
      </c>
      <c r="P7" s="16" t="str">
        <f>IF(ISNUMBER(SEARCH($P$2, Main!G33)), Main!H33, "")</f>
        <v/>
      </c>
      <c r="Q7" s="16" t="str">
        <f>IF(ISNUMBER(SEARCH($Q$2, Main!G33)), Main!H33, "")</f>
        <v/>
      </c>
      <c r="R7" s="16" t="str">
        <f>IF(ISNUMBER(SEARCH($R$2, Main!G33)), Main!H33, "")</f>
        <v/>
      </c>
      <c r="S7" s="16" t="str">
        <f>IF(ISNUMBER(SEARCH($S$2, Main!G33)), Main!H33, "")</f>
        <v/>
      </c>
      <c r="T7" s="16" t="str">
        <f>IF(ISNUMBER(SEARCH($T$2, Main!G33)), Main!H33, "")</f>
        <v/>
      </c>
      <c r="U7" s="16" t="str">
        <f>IF(ISNUMBER(SEARCH($U$2, Main!G33)), Main!H33, "")</f>
        <v/>
      </c>
      <c r="W7">
        <f>IF(Main!C34="RTV",Main!E34,0)</f>
        <v>0</v>
      </c>
      <c r="X7">
        <f>IF(Main!C34="PRV",Main!E34,0)</f>
        <v>0</v>
      </c>
      <c r="Y7">
        <f>IF(Main!C34="RMA",Main!E34,0)</f>
        <v>0</v>
      </c>
      <c r="Z7">
        <f>IF(Main!C34="PRV",Main!H34,0)</f>
        <v>0</v>
      </c>
    </row>
    <row r="8" spans="1:26" x14ac:dyDescent="0.3">
      <c r="A8" s="16" t="str">
        <f>IF(ISNUMBER(SEARCH($A$2, Main!G34)), Main!E34, "")</f>
        <v/>
      </c>
      <c r="B8" s="16" t="str">
        <f>IF(ISNUMBER(SEARCH($B$2, Main!G34)), Main!E34, "")</f>
        <v/>
      </c>
      <c r="C8" s="16" t="str">
        <f>IF(ISNUMBER(SEARCH($C$2, Main!G34)), Main!E34, "")</f>
        <v/>
      </c>
      <c r="D8" s="16" t="str">
        <f>IF(ISNUMBER(SEARCH($D$2, Main!G34)), Main!E34, "")</f>
        <v/>
      </c>
      <c r="E8" s="16" t="str">
        <f>IF(ISNUMBER(SEARCH($E$2, Main!G34)), Main!E34, "")</f>
        <v/>
      </c>
      <c r="F8" s="16" t="str">
        <f>IF(ISNUMBER(SEARCH($F$2, Main!G34)), Main!E34, "")</f>
        <v/>
      </c>
      <c r="G8" s="16" t="str">
        <f>IF(ISNUMBER(SEARCH($G$2, Main!G34)), Main!E34, "")</f>
        <v/>
      </c>
      <c r="H8" s="16" t="str">
        <f>IF(ISNUMBER(SEARCH($H$2, Main!G34)), Main!E34, "")</f>
        <v/>
      </c>
      <c r="I8" s="16" t="str">
        <f>IF(ISNUMBER(SEARCH($I$2, Main!G34)), Main!E34, "")</f>
        <v/>
      </c>
      <c r="J8" s="16" t="str">
        <f>IF(ISNUMBER(SEARCH($J$2, Main!G34)), Main!E34, "")</f>
        <v/>
      </c>
      <c r="L8" s="16" t="str">
        <f>IF(ISNUMBER(SEARCH($L$2, Main!G34)), Main!H34, "")</f>
        <v/>
      </c>
      <c r="M8" s="16" t="str">
        <f>IF(ISNUMBER(SEARCH($M$2, Main!G34)), Main!H34, "")</f>
        <v/>
      </c>
      <c r="N8" s="16" t="str">
        <f>IF(ISNUMBER(SEARCH($N$2, Main!G34)), Main!H34, "")</f>
        <v/>
      </c>
      <c r="O8" s="16" t="str">
        <f>IF(ISNUMBER(SEARCH($O$2, Main!G34)), Main!H34, "")</f>
        <v/>
      </c>
      <c r="P8" s="16" t="str">
        <f>IF(ISNUMBER(SEARCH($P$2, Main!G34)), Main!H34, "")</f>
        <v/>
      </c>
      <c r="Q8" s="16" t="str">
        <f>IF(ISNUMBER(SEARCH($Q$2, Main!G34)), Main!H34, "")</f>
        <v/>
      </c>
      <c r="R8" s="16" t="str">
        <f>IF(ISNUMBER(SEARCH($R$2, Main!G34)), Main!H34, "")</f>
        <v/>
      </c>
      <c r="S8" s="16" t="str">
        <f>IF(ISNUMBER(SEARCH($S$2, Main!G34)), Main!H34, "")</f>
        <v/>
      </c>
      <c r="T8" s="16" t="str">
        <f>IF(ISNUMBER(SEARCH($T$2, Main!G34)), Main!H34, "")</f>
        <v/>
      </c>
      <c r="U8" s="16" t="str">
        <f>IF(ISNUMBER(SEARCH($U$2, Main!G34)), Main!H34, "")</f>
        <v/>
      </c>
      <c r="W8">
        <f>IF(Main!C35="RTV",Main!E35,0)</f>
        <v>0</v>
      </c>
      <c r="X8">
        <f>IF(Main!C35="PRV",Main!E35,0)</f>
        <v>0</v>
      </c>
      <c r="Y8">
        <f>IF(Main!C35="RMA",Main!E35,0)</f>
        <v>0</v>
      </c>
      <c r="Z8">
        <f>IF(Main!C35="PRV",Main!H35,0)</f>
        <v>0</v>
      </c>
    </row>
    <row r="9" spans="1:26" x14ac:dyDescent="0.3">
      <c r="A9" s="16" t="str">
        <f>IF(ISNUMBER(SEARCH($A$2, Main!G35)), Main!E35, "")</f>
        <v/>
      </c>
      <c r="B9" s="16" t="str">
        <f>IF(ISNUMBER(SEARCH($B$2, Main!G35)), Main!E35, "")</f>
        <v/>
      </c>
      <c r="C9" s="16" t="str">
        <f>IF(ISNUMBER(SEARCH($C$2, Main!G35)), Main!E35, "")</f>
        <v/>
      </c>
      <c r="D9" s="16" t="str">
        <f>IF(ISNUMBER(SEARCH($D$2, Main!G35)), Main!E35, "")</f>
        <v/>
      </c>
      <c r="E9" s="16" t="str">
        <f>IF(ISNUMBER(SEARCH($E$2, Main!G35)), Main!E35, "")</f>
        <v/>
      </c>
      <c r="F9" s="16" t="str">
        <f>IF(ISNUMBER(SEARCH($F$2, Main!G35)), Main!E35, "")</f>
        <v/>
      </c>
      <c r="G9" s="16" t="str">
        <f>IF(ISNUMBER(SEARCH($G$2, Main!G35)), Main!E35, "")</f>
        <v/>
      </c>
      <c r="H9" s="16" t="str">
        <f>IF(ISNUMBER(SEARCH($H$2, Main!G35)), Main!E35, "")</f>
        <v/>
      </c>
      <c r="I9" s="16" t="str">
        <f>IF(ISNUMBER(SEARCH($I$2, Main!G35)), Main!E35, "")</f>
        <v/>
      </c>
      <c r="J9" s="16" t="str">
        <f>IF(ISNUMBER(SEARCH($J$2, Main!G35)), Main!E35, "")</f>
        <v/>
      </c>
      <c r="L9" s="16" t="str">
        <f>IF(ISNUMBER(SEARCH($L$2, Main!G35)), Main!H35, "")</f>
        <v/>
      </c>
      <c r="M9" s="16" t="str">
        <f>IF(ISNUMBER(SEARCH($M$2, Main!G35)), Main!H35, "")</f>
        <v/>
      </c>
      <c r="N9" s="16" t="str">
        <f>IF(ISNUMBER(SEARCH($N$2, Main!G35)), Main!H35, "")</f>
        <v/>
      </c>
      <c r="O9" s="16" t="str">
        <f>IF(ISNUMBER(SEARCH($O$2, Main!G35)), Main!H35, "")</f>
        <v/>
      </c>
      <c r="P9" s="16" t="str">
        <f>IF(ISNUMBER(SEARCH($P$2, Main!G35)), Main!H35, "")</f>
        <v/>
      </c>
      <c r="Q9" s="16" t="str">
        <f>IF(ISNUMBER(SEARCH($Q$2, Main!G35)), Main!H35, "")</f>
        <v/>
      </c>
      <c r="R9" s="16" t="str">
        <f>IF(ISNUMBER(SEARCH($R$2, Main!G35)), Main!H35, "")</f>
        <v/>
      </c>
      <c r="S9" s="16" t="str">
        <f>IF(ISNUMBER(SEARCH($S$2, Main!G35)), Main!H35, "")</f>
        <v/>
      </c>
      <c r="T9" s="16" t="str">
        <f>IF(ISNUMBER(SEARCH($T$2, Main!G35)), Main!H35, "")</f>
        <v/>
      </c>
      <c r="U9" s="16" t="str">
        <f>IF(ISNUMBER(SEARCH($U$2, Main!G35)), Main!H35, "")</f>
        <v/>
      </c>
      <c r="W9">
        <f>IF(Main!C36="RTV",Main!E36,0)</f>
        <v>0</v>
      </c>
      <c r="X9">
        <f>IF(Main!C36="PRV",Main!E36,0)</f>
        <v>0</v>
      </c>
      <c r="Y9">
        <f>IF(Main!C36="RMA",Main!E36,0)</f>
        <v>0</v>
      </c>
      <c r="Z9">
        <f>IF(Main!C36="PRV",Main!H36,0)</f>
        <v>0</v>
      </c>
    </row>
    <row r="10" spans="1:26" x14ac:dyDescent="0.3">
      <c r="A10" s="16" t="str">
        <f>IF(ISNUMBER(SEARCH($A$2, Main!G36)), Main!E36, "")</f>
        <v/>
      </c>
      <c r="B10" s="16" t="str">
        <f>IF(ISNUMBER(SEARCH($B$2, Main!G36)), Main!E36, "")</f>
        <v/>
      </c>
      <c r="C10" s="16" t="str">
        <f>IF(ISNUMBER(SEARCH($C$2, Main!G36)), Main!E36, "")</f>
        <v/>
      </c>
      <c r="D10" s="16" t="str">
        <f>IF(ISNUMBER(SEARCH($D$2, Main!G36)), Main!E36, "")</f>
        <v/>
      </c>
      <c r="E10" s="16" t="str">
        <f>IF(ISNUMBER(SEARCH($E$2, Main!G36)), Main!E36, "")</f>
        <v/>
      </c>
      <c r="F10" s="16" t="str">
        <f>IF(ISNUMBER(SEARCH($F$2, Main!G36)), Main!E36, "")</f>
        <v/>
      </c>
      <c r="G10" s="16" t="str">
        <f>IF(ISNUMBER(SEARCH($G$2, Main!G36)), Main!E36, "")</f>
        <v/>
      </c>
      <c r="H10" s="16" t="str">
        <f>IF(ISNUMBER(SEARCH($H$2, Main!G36)), Main!E36, "")</f>
        <v/>
      </c>
      <c r="I10" s="16" t="str">
        <f>IF(ISNUMBER(SEARCH($I$2, Main!G36)), Main!E36, "")</f>
        <v/>
      </c>
      <c r="J10" s="16" t="str">
        <f>IF(ISNUMBER(SEARCH($J$2, Main!G36)), Main!E36, "")</f>
        <v/>
      </c>
      <c r="L10" s="16" t="str">
        <f>IF(ISNUMBER(SEARCH($L$2, Main!G36)), Main!H36, "")</f>
        <v/>
      </c>
      <c r="M10" s="16" t="str">
        <f>IF(ISNUMBER(SEARCH($M$2, Main!G36)), Main!H36, "")</f>
        <v/>
      </c>
      <c r="N10" s="16" t="str">
        <f>IF(ISNUMBER(SEARCH($N$2, Main!G36)), Main!H36, "")</f>
        <v/>
      </c>
      <c r="O10" s="16" t="str">
        <f>IF(ISNUMBER(SEARCH($O$2, Main!G36)), Main!H36, "")</f>
        <v/>
      </c>
      <c r="P10" s="16" t="str">
        <f>IF(ISNUMBER(SEARCH($P$2, Main!G36)), Main!H36, "")</f>
        <v/>
      </c>
      <c r="Q10" s="16" t="str">
        <f>IF(ISNUMBER(SEARCH($Q$2, Main!G36)), Main!H36, "")</f>
        <v/>
      </c>
      <c r="R10" s="16" t="str">
        <f>IF(ISNUMBER(SEARCH($R$2, Main!G36)), Main!H36, "")</f>
        <v/>
      </c>
      <c r="S10" s="16" t="str">
        <f>IF(ISNUMBER(SEARCH($S$2, Main!G36)), Main!H36, "")</f>
        <v/>
      </c>
      <c r="T10" s="16" t="str">
        <f>IF(ISNUMBER(SEARCH($T$2, Main!G36)), Main!H36, "")</f>
        <v/>
      </c>
      <c r="U10" s="16" t="str">
        <f>IF(ISNUMBER(SEARCH($U$2, Main!G36)), Main!H36, "")</f>
        <v/>
      </c>
      <c r="W10">
        <f>IF(Main!C37="RTV",Main!E37,0)</f>
        <v>0</v>
      </c>
      <c r="X10">
        <f>IF(Main!C37="PRV",Main!E37,0)</f>
        <v>0</v>
      </c>
      <c r="Y10">
        <f>IF(Main!C37="RMA",Main!E37,0)</f>
        <v>0</v>
      </c>
      <c r="Z10">
        <f>IF(Main!C37="PRV",Main!H37,0)</f>
        <v>0</v>
      </c>
    </row>
    <row r="11" spans="1:26" x14ac:dyDescent="0.3">
      <c r="A11" s="16" t="str">
        <f>IF(ISNUMBER(SEARCH($A$2, Main!G37)), Main!E37, "")</f>
        <v/>
      </c>
      <c r="B11" s="16" t="str">
        <f>IF(ISNUMBER(SEARCH($B$2, Main!G37)), Main!E37, "")</f>
        <v/>
      </c>
      <c r="C11" s="16" t="str">
        <f>IF(ISNUMBER(SEARCH($C$2, Main!G37)), Main!E37, "")</f>
        <v/>
      </c>
      <c r="D11" s="16" t="str">
        <f>IF(ISNUMBER(SEARCH($D$2, Main!G37)), Main!E37, "")</f>
        <v/>
      </c>
      <c r="E11" s="16" t="str">
        <f>IF(ISNUMBER(SEARCH($E$2, Main!G37)), Main!E37, "")</f>
        <v/>
      </c>
      <c r="F11" s="16" t="str">
        <f>IF(ISNUMBER(SEARCH($F$2, Main!G37)), Main!E37, "")</f>
        <v/>
      </c>
      <c r="G11" s="16" t="str">
        <f>IF(ISNUMBER(SEARCH($G$2, Main!G37)), Main!E37, "")</f>
        <v/>
      </c>
      <c r="H11" s="16" t="str">
        <f>IF(ISNUMBER(SEARCH($H$2, Main!G37)), Main!E37, "")</f>
        <v/>
      </c>
      <c r="I11" s="16" t="str">
        <f>IF(ISNUMBER(SEARCH($I$2, Main!G37)), Main!E37, "")</f>
        <v/>
      </c>
      <c r="J11" s="16" t="str">
        <f>IF(ISNUMBER(SEARCH($J$2, Main!G37)), Main!E37, "")</f>
        <v/>
      </c>
      <c r="L11" s="16" t="str">
        <f>IF(ISNUMBER(SEARCH($L$2, Main!G37)), Main!H37, "")</f>
        <v/>
      </c>
      <c r="M11" s="16" t="str">
        <f>IF(ISNUMBER(SEARCH($M$2, Main!G37)), Main!H37, "")</f>
        <v/>
      </c>
      <c r="N11" s="16" t="str">
        <f>IF(ISNUMBER(SEARCH($N$2, Main!G37)), Main!H37, "")</f>
        <v/>
      </c>
      <c r="O11" s="16" t="str">
        <f>IF(ISNUMBER(SEARCH($O$2, Main!G37)), Main!H37, "")</f>
        <v/>
      </c>
      <c r="P11" s="16" t="str">
        <f>IF(ISNUMBER(SEARCH($P$2, Main!G37)), Main!H37, "")</f>
        <v/>
      </c>
      <c r="Q11" s="16" t="str">
        <f>IF(ISNUMBER(SEARCH($Q$2, Main!G37)), Main!H37, "")</f>
        <v/>
      </c>
      <c r="R11" s="16" t="str">
        <f>IF(ISNUMBER(SEARCH($R$2, Main!G37)), Main!H37, "")</f>
        <v/>
      </c>
      <c r="S11" s="16" t="str">
        <f>IF(ISNUMBER(SEARCH($S$2, Main!G37)), Main!H37, "")</f>
        <v/>
      </c>
      <c r="T11" s="16" t="str">
        <f>IF(ISNUMBER(SEARCH($T$2, Main!G37)), Main!H37, "")</f>
        <v/>
      </c>
      <c r="U11" s="16" t="str">
        <f>IF(ISNUMBER(SEARCH($U$2, Main!G37)), Main!H37, "")</f>
        <v/>
      </c>
      <c r="W11">
        <f>IF(Main!C38="RTV",Main!E38,0)</f>
        <v>0</v>
      </c>
      <c r="X11">
        <f>IF(Main!C38="PRV",Main!E38,0)</f>
        <v>0</v>
      </c>
      <c r="Y11">
        <f>IF(Main!C38="RMA",Main!E38,0)</f>
        <v>0</v>
      </c>
      <c r="Z11">
        <f>IF(Main!C38="PRV",Main!H38,0)</f>
        <v>0</v>
      </c>
    </row>
    <row r="12" spans="1:26" x14ac:dyDescent="0.3">
      <c r="A12" s="16" t="str">
        <f>IF(ISNUMBER(SEARCH($A$2, Main!G38)), Main!E38, "")</f>
        <v/>
      </c>
      <c r="B12" s="16" t="str">
        <f>IF(ISNUMBER(SEARCH($B$2, Main!G38)), Main!E38, "")</f>
        <v/>
      </c>
      <c r="C12" s="16" t="str">
        <f>IF(ISNUMBER(SEARCH($C$2, Main!G38)), Main!E38, "")</f>
        <v/>
      </c>
      <c r="D12" s="16" t="str">
        <f>IF(ISNUMBER(SEARCH($D$2, Main!G38)), Main!E38, "")</f>
        <v/>
      </c>
      <c r="E12" s="16" t="str">
        <f>IF(ISNUMBER(SEARCH($E$2, Main!G38)), Main!E38, "")</f>
        <v/>
      </c>
      <c r="F12" s="16" t="str">
        <f>IF(ISNUMBER(SEARCH($F$2, Main!G38)), Main!E38, "")</f>
        <v/>
      </c>
      <c r="G12" s="16" t="str">
        <f>IF(ISNUMBER(SEARCH($G$2, Main!G38)), Main!E38, "")</f>
        <v/>
      </c>
      <c r="H12" s="16" t="str">
        <f>IF(ISNUMBER(SEARCH($H$2, Main!G38)), Main!E38, "")</f>
        <v/>
      </c>
      <c r="I12" s="16" t="str">
        <f>IF(ISNUMBER(SEARCH($I$2, Main!G38)), Main!E38, "")</f>
        <v/>
      </c>
      <c r="J12" s="16" t="str">
        <f>IF(ISNUMBER(SEARCH($J$2, Main!G38)), Main!E38, "")</f>
        <v/>
      </c>
      <c r="L12" s="16" t="str">
        <f>IF(ISNUMBER(SEARCH($L$2, Main!G38)), Main!H38, "")</f>
        <v/>
      </c>
      <c r="M12" s="16" t="str">
        <f>IF(ISNUMBER(SEARCH($M$2, Main!G38)), Main!H38, "")</f>
        <v/>
      </c>
      <c r="N12" s="16" t="str">
        <f>IF(ISNUMBER(SEARCH($N$2, Main!G38)), Main!H38, "")</f>
        <v/>
      </c>
      <c r="O12" s="16" t="str">
        <f>IF(ISNUMBER(SEARCH($O$2, Main!G38)), Main!H38, "")</f>
        <v/>
      </c>
      <c r="P12" s="16" t="str">
        <f>IF(ISNUMBER(SEARCH($P$2, Main!G38)), Main!H38, "")</f>
        <v/>
      </c>
      <c r="Q12" s="16" t="str">
        <f>IF(ISNUMBER(SEARCH($Q$2, Main!G38)), Main!H38, "")</f>
        <v/>
      </c>
      <c r="R12" s="16" t="str">
        <f>IF(ISNUMBER(SEARCH($R$2, Main!G38)), Main!H38, "")</f>
        <v/>
      </c>
      <c r="S12" s="16" t="str">
        <f>IF(ISNUMBER(SEARCH($S$2, Main!G38)), Main!H38, "")</f>
        <v/>
      </c>
      <c r="T12" s="16" t="str">
        <f>IF(ISNUMBER(SEARCH($T$2, Main!G38)), Main!H38, "")</f>
        <v/>
      </c>
      <c r="U12" s="16" t="str">
        <f>IF(ISNUMBER(SEARCH($U$2, Main!G38)), Main!H38, "")</f>
        <v/>
      </c>
      <c r="W12">
        <f>IF(Main!C39="RTV",Main!E39,0)</f>
        <v>0</v>
      </c>
      <c r="X12">
        <f>IF(Main!C39="PRV",Main!E39,0)</f>
        <v>0</v>
      </c>
      <c r="Y12">
        <f>IF(Main!C39="RMA",Main!E39,0)</f>
        <v>0</v>
      </c>
      <c r="Z12">
        <f>IF(Main!C39="PRV",Main!H39,0)</f>
        <v>0</v>
      </c>
    </row>
    <row r="13" spans="1:26" x14ac:dyDescent="0.3">
      <c r="A13" s="16" t="str">
        <f>IF(ISNUMBER(SEARCH($A$2, Main!G39)), Main!E39, "")</f>
        <v/>
      </c>
      <c r="B13" s="16" t="str">
        <f>IF(ISNUMBER(SEARCH($B$2, Main!G39)), Main!E39, "")</f>
        <v/>
      </c>
      <c r="C13" s="16" t="str">
        <f>IF(ISNUMBER(SEARCH($C$2, Main!G39)), Main!E39, "")</f>
        <v/>
      </c>
      <c r="D13" s="16" t="str">
        <f>IF(ISNUMBER(SEARCH($D$2, Main!G39)), Main!E39, "")</f>
        <v/>
      </c>
      <c r="E13" s="16" t="str">
        <f>IF(ISNUMBER(SEARCH($E$2, Main!G39)), Main!E39, "")</f>
        <v/>
      </c>
      <c r="F13" s="16" t="str">
        <f>IF(ISNUMBER(SEARCH($F$2, Main!G39)), Main!E39, "")</f>
        <v/>
      </c>
      <c r="G13" s="16" t="str">
        <f>IF(ISNUMBER(SEARCH($G$2, Main!G39)), Main!E39, "")</f>
        <v/>
      </c>
      <c r="H13" s="16" t="str">
        <f>IF(ISNUMBER(SEARCH($H$2, Main!G39)), Main!E39, "")</f>
        <v/>
      </c>
      <c r="I13" s="16" t="str">
        <f>IF(ISNUMBER(SEARCH($I$2, Main!G39)), Main!E39, "")</f>
        <v/>
      </c>
      <c r="J13" s="16" t="str">
        <f>IF(ISNUMBER(SEARCH($J$2, Main!G39)), Main!E39, "")</f>
        <v/>
      </c>
      <c r="L13" s="16" t="str">
        <f>IF(ISNUMBER(SEARCH($L$2, Main!G39)), Main!H39, "")</f>
        <v/>
      </c>
      <c r="M13" s="16" t="str">
        <f>IF(ISNUMBER(SEARCH($M$2, Main!G39)), Main!H39, "")</f>
        <v/>
      </c>
      <c r="N13" s="16" t="str">
        <f>IF(ISNUMBER(SEARCH($N$2, Main!G39)), Main!H39, "")</f>
        <v/>
      </c>
      <c r="O13" s="16" t="str">
        <f>IF(ISNUMBER(SEARCH($O$2, Main!G39)), Main!H39, "")</f>
        <v/>
      </c>
      <c r="P13" s="16" t="str">
        <f>IF(ISNUMBER(SEARCH($P$2, Main!G39)), Main!H39, "")</f>
        <v/>
      </c>
      <c r="Q13" s="16" t="str">
        <f>IF(ISNUMBER(SEARCH($Q$2, Main!G39)), Main!H39, "")</f>
        <v/>
      </c>
      <c r="R13" s="16" t="str">
        <f>IF(ISNUMBER(SEARCH($R$2, Main!G39)), Main!H39, "")</f>
        <v/>
      </c>
      <c r="S13" s="16" t="str">
        <f>IF(ISNUMBER(SEARCH($S$2, Main!G39)), Main!H39, "")</f>
        <v/>
      </c>
      <c r="T13" s="16" t="str">
        <f>IF(ISNUMBER(SEARCH($T$2, Main!G39)), Main!H39, "")</f>
        <v/>
      </c>
      <c r="U13" s="16" t="str">
        <f>IF(ISNUMBER(SEARCH($U$2, Main!G39)), Main!H39, "")</f>
        <v/>
      </c>
      <c r="W13">
        <f>IF(Main!C40="RTV",Main!E40,0)</f>
        <v>0</v>
      </c>
      <c r="X13">
        <f>IF(Main!C40="PRV",Main!E40,0)</f>
        <v>0</v>
      </c>
      <c r="Y13">
        <f>IF(Main!C40="RMA",Main!E40,0)</f>
        <v>0</v>
      </c>
      <c r="Z13">
        <f>IF(Main!C40="PRV",Main!H40,0)</f>
        <v>0</v>
      </c>
    </row>
    <row r="14" spans="1:26" x14ac:dyDescent="0.3">
      <c r="A14" s="16" t="str">
        <f>IF(ISNUMBER(SEARCH($A$2, Main!G40)), Main!E40, "")</f>
        <v/>
      </c>
      <c r="B14" s="16" t="str">
        <f>IF(ISNUMBER(SEARCH($B$2, Main!G40)), Main!E40, "")</f>
        <v/>
      </c>
      <c r="C14" s="16" t="str">
        <f>IF(ISNUMBER(SEARCH($C$2, Main!G40)), Main!E40, "")</f>
        <v/>
      </c>
      <c r="D14" s="16" t="str">
        <f>IF(ISNUMBER(SEARCH($D$2, Main!G40)), Main!E40, "")</f>
        <v/>
      </c>
      <c r="E14" s="16" t="str">
        <f>IF(ISNUMBER(SEARCH($E$2, Main!G40)), Main!E40, "")</f>
        <v/>
      </c>
      <c r="F14" s="16" t="str">
        <f>IF(ISNUMBER(SEARCH($F$2, Main!G40)), Main!E40, "")</f>
        <v/>
      </c>
      <c r="G14" s="16" t="str">
        <f>IF(ISNUMBER(SEARCH($G$2, Main!G40)), Main!E40, "")</f>
        <v/>
      </c>
      <c r="H14" s="16" t="str">
        <f>IF(ISNUMBER(SEARCH($H$2, Main!G40)), Main!E40, "")</f>
        <v/>
      </c>
      <c r="I14" s="16" t="str">
        <f>IF(ISNUMBER(SEARCH($I$2, Main!G40)), Main!E40, "")</f>
        <v/>
      </c>
      <c r="J14" s="16" t="str">
        <f>IF(ISNUMBER(SEARCH($J$2, Main!G40)), Main!E40, "")</f>
        <v/>
      </c>
      <c r="L14" s="16" t="str">
        <f>IF(ISNUMBER(SEARCH($L$2, Main!G40)), Main!H40, "")</f>
        <v/>
      </c>
      <c r="M14" s="16" t="str">
        <f>IF(ISNUMBER(SEARCH($M$2, Main!G40)), Main!H40, "")</f>
        <v/>
      </c>
      <c r="N14" s="16" t="str">
        <f>IF(ISNUMBER(SEARCH($N$2, Main!G40)), Main!H40, "")</f>
        <v/>
      </c>
      <c r="O14" s="16" t="str">
        <f>IF(ISNUMBER(SEARCH($O$2, Main!G40)), Main!H40, "")</f>
        <v/>
      </c>
      <c r="P14" s="16" t="str">
        <f>IF(ISNUMBER(SEARCH($P$2, Main!G40)), Main!H40, "")</f>
        <v/>
      </c>
      <c r="Q14" s="16" t="str">
        <f>IF(ISNUMBER(SEARCH($Q$2, Main!G40)), Main!H40, "")</f>
        <v/>
      </c>
      <c r="R14" s="16" t="str">
        <f>IF(ISNUMBER(SEARCH($R$2, Main!G40)), Main!H40, "")</f>
        <v/>
      </c>
      <c r="S14" s="16" t="str">
        <f>IF(ISNUMBER(SEARCH($S$2, Main!G40)), Main!H40, "")</f>
        <v/>
      </c>
      <c r="T14" s="16" t="str">
        <f>IF(ISNUMBER(SEARCH($T$2, Main!G40)), Main!H40, "")</f>
        <v/>
      </c>
      <c r="U14" s="16" t="str">
        <f>IF(ISNUMBER(SEARCH($U$2, Main!G40)), Main!H40, "")</f>
        <v/>
      </c>
      <c r="W14">
        <f>IF(Main!C41="RTV",Main!E41,0)</f>
        <v>0</v>
      </c>
      <c r="X14">
        <f>IF(Main!C41="PRV",Main!E41,0)</f>
        <v>0</v>
      </c>
      <c r="Y14">
        <f>IF(Main!C41="RMA",Main!E41,0)</f>
        <v>0</v>
      </c>
      <c r="Z14">
        <f>IF(Main!C41="PRV",Main!H41,0)</f>
        <v>0</v>
      </c>
    </row>
    <row r="15" spans="1:26" x14ac:dyDescent="0.3">
      <c r="A15" s="16" t="str">
        <f>IF(ISNUMBER(SEARCH($A$2, Main!#REF!)), Main!#REF!, "")</f>
        <v/>
      </c>
      <c r="B15" s="16" t="str">
        <f>IF(ISNUMBER(SEARCH($B$2, Main!#REF!)), Main!#REF!, "")</f>
        <v/>
      </c>
      <c r="C15" s="16" t="str">
        <f>IF(ISNUMBER(SEARCH($C$2, Main!#REF!)), Main!#REF!, "")</f>
        <v/>
      </c>
      <c r="D15" s="16" t="str">
        <f>IF(ISNUMBER(SEARCH($D$2, Main!#REF!)), Main!#REF!, "")</f>
        <v/>
      </c>
      <c r="E15" s="16" t="str">
        <f>IF(ISNUMBER(SEARCH($E$2, Main!#REF!)), Main!#REF!, "")</f>
        <v/>
      </c>
      <c r="F15" s="16" t="str">
        <f>IF(ISNUMBER(SEARCH($F$2, Main!#REF!)), Main!#REF!, "")</f>
        <v/>
      </c>
      <c r="G15" s="16" t="str">
        <f>IF(ISNUMBER(SEARCH($G$2, Main!#REF!)), Main!#REF!, "")</f>
        <v/>
      </c>
      <c r="H15" s="16" t="str">
        <f>IF(ISNUMBER(SEARCH($H$2, Main!#REF!)), Main!#REF!, "")</f>
        <v/>
      </c>
      <c r="I15" s="16" t="str">
        <f>IF(ISNUMBER(SEARCH($I$2, Main!#REF!)), Main!#REF!, "")</f>
        <v/>
      </c>
      <c r="J15" s="16" t="str">
        <f>IF(ISNUMBER(SEARCH($J$2, Main!#REF!)), Main!#REF!, "")</f>
        <v/>
      </c>
      <c r="L15" s="16" t="str">
        <f>IF(ISNUMBER(SEARCH($L$2, Main!#REF!)), Main!#REF!, "")</f>
        <v/>
      </c>
      <c r="M15" s="16" t="str">
        <f>IF(ISNUMBER(SEARCH($M$2, Main!#REF!)), Main!#REF!, "")</f>
        <v/>
      </c>
      <c r="N15" s="16" t="str">
        <f>IF(ISNUMBER(SEARCH($N$2, Main!#REF!)), Main!#REF!, "")</f>
        <v/>
      </c>
      <c r="O15" s="16" t="str">
        <f>IF(ISNUMBER(SEARCH($O$2, Main!#REF!)), Main!#REF!, "")</f>
        <v/>
      </c>
      <c r="P15" s="16" t="str">
        <f>IF(ISNUMBER(SEARCH($P$2, Main!#REF!)), Main!#REF!, "")</f>
        <v/>
      </c>
      <c r="Q15" s="16" t="str">
        <f>IF(ISNUMBER(SEARCH($Q$2, Main!#REF!)), Main!#REF!, "")</f>
        <v/>
      </c>
      <c r="R15" s="16" t="str">
        <f>IF(ISNUMBER(SEARCH($R$2, Main!#REF!)), Main!#REF!, "")</f>
        <v/>
      </c>
      <c r="S15" s="16" t="str">
        <f>IF(ISNUMBER(SEARCH($S$2, Main!#REF!)), Main!#REF!, "")</f>
        <v/>
      </c>
      <c r="T15" s="16" t="str">
        <f>IF(ISNUMBER(SEARCH($T$2, Main!#REF!)), Main!#REF!, "")</f>
        <v/>
      </c>
      <c r="U15" s="16" t="str">
        <f>IF(ISNUMBER(SEARCH($U$2, Main!#REF!)), Main!#REF!, "")</f>
        <v/>
      </c>
      <c r="W15">
        <f>IF(Main!C42="RTV",Main!E42,0)</f>
        <v>0</v>
      </c>
      <c r="X15">
        <f>IF(Main!C42="PRV",Main!E42,0)</f>
        <v>0</v>
      </c>
      <c r="Y15">
        <f>IF(Main!C42="RMA",Main!E42,0)</f>
        <v>0</v>
      </c>
      <c r="Z15">
        <f>IF(Main!C42="PRV",Main!H42,0)</f>
        <v>0</v>
      </c>
    </row>
    <row r="16" spans="1:26" x14ac:dyDescent="0.3">
      <c r="A16" s="16" t="str">
        <f>IF(ISNUMBER(SEARCH($A$2, Main!G41)), Main!E41, "")</f>
        <v/>
      </c>
      <c r="B16" s="16" t="str">
        <f>IF(ISNUMBER(SEARCH($B$2, Main!G41)), Main!E41, "")</f>
        <v/>
      </c>
      <c r="C16" s="16" t="str">
        <f>IF(ISNUMBER(SEARCH($C$2, Main!G41)), Main!E41, "")</f>
        <v/>
      </c>
      <c r="D16" s="16" t="str">
        <f>IF(ISNUMBER(SEARCH($D$2, Main!G41)), Main!E41, "")</f>
        <v/>
      </c>
      <c r="E16" s="16" t="str">
        <f>IF(ISNUMBER(SEARCH($E$2, Main!G41)), Main!E41, "")</f>
        <v/>
      </c>
      <c r="F16" s="16" t="str">
        <f>IF(ISNUMBER(SEARCH($F$2, Main!G41)), Main!E41, "")</f>
        <v/>
      </c>
      <c r="G16" s="16" t="str">
        <f>IF(ISNUMBER(SEARCH($G$2, Main!G41)), Main!E41, "")</f>
        <v/>
      </c>
      <c r="H16" s="16" t="str">
        <f>IF(ISNUMBER(SEARCH($H$2, Main!G41)), Main!E41, "")</f>
        <v/>
      </c>
      <c r="I16" s="16" t="str">
        <f>IF(ISNUMBER(SEARCH($I$2, Main!G41)), Main!E41, "")</f>
        <v/>
      </c>
      <c r="J16" s="16" t="str">
        <f>IF(ISNUMBER(SEARCH($J$2, Main!G41)), Main!E41, "")</f>
        <v/>
      </c>
      <c r="L16" s="16" t="str">
        <f>IF(ISNUMBER(SEARCH($L$2, Main!G41)), Main!H41, "")</f>
        <v/>
      </c>
      <c r="M16" s="16" t="str">
        <f>IF(ISNUMBER(SEARCH($M$2, Main!G41)), Main!H41, "")</f>
        <v/>
      </c>
      <c r="N16" s="16" t="str">
        <f>IF(ISNUMBER(SEARCH($N$2, Main!G41)), Main!H41, "")</f>
        <v/>
      </c>
      <c r="O16" s="16" t="str">
        <f>IF(ISNUMBER(SEARCH($O$2, Main!G41)), Main!H41, "")</f>
        <v/>
      </c>
      <c r="P16" s="16" t="str">
        <f>IF(ISNUMBER(SEARCH($P$2, Main!G41)), Main!H41, "")</f>
        <v/>
      </c>
      <c r="Q16" s="16" t="str">
        <f>IF(ISNUMBER(SEARCH($Q$2, Main!G41)), Main!H41, "")</f>
        <v/>
      </c>
      <c r="R16" s="16" t="str">
        <f>IF(ISNUMBER(SEARCH($R$2, Main!G41)), Main!H41, "")</f>
        <v/>
      </c>
      <c r="S16" s="16" t="str">
        <f>IF(ISNUMBER(SEARCH($S$2, Main!G41)), Main!H41, "")</f>
        <v/>
      </c>
      <c r="T16" s="16" t="str">
        <f>IF(ISNUMBER(SEARCH($T$2, Main!G41)), Main!H41, "")</f>
        <v/>
      </c>
      <c r="U16" s="16" t="str">
        <f>IF(ISNUMBER(SEARCH($U$2, Main!G41)), Main!H41, "")</f>
        <v/>
      </c>
      <c r="W16">
        <f>IF(Main!C43="RTV",Main!E43,0)</f>
        <v>0</v>
      </c>
      <c r="X16">
        <f>IF(Main!C43="PRV",Main!E43,0)</f>
        <v>0</v>
      </c>
      <c r="Y16">
        <f>IF(Main!C43="RMA",Main!E43,0)</f>
        <v>0</v>
      </c>
      <c r="Z16">
        <f>IF(Main!C43="PRV",Main!H43,0)</f>
        <v>0</v>
      </c>
    </row>
    <row r="17" spans="1:26" x14ac:dyDescent="0.3">
      <c r="A17" s="16" t="str">
        <f>IF(ISNUMBER(SEARCH($A$2, Main!G42)), Main!E42, "")</f>
        <v/>
      </c>
      <c r="B17" s="16" t="str">
        <f>IF(ISNUMBER(SEARCH($B$2, Main!G42)), Main!E42, "")</f>
        <v/>
      </c>
      <c r="C17" s="16" t="str">
        <f>IF(ISNUMBER(SEARCH($C$2, Main!G42)), Main!E42, "")</f>
        <v/>
      </c>
      <c r="D17" s="16" t="str">
        <f>IF(ISNUMBER(SEARCH($D$2, Main!G42)), Main!E42, "")</f>
        <v/>
      </c>
      <c r="E17" s="16" t="str">
        <f>IF(ISNUMBER(SEARCH($E$2, Main!G42)), Main!E42, "")</f>
        <v/>
      </c>
      <c r="F17" s="16" t="str">
        <f>IF(ISNUMBER(SEARCH($F$2, Main!G42)), Main!E42, "")</f>
        <v/>
      </c>
      <c r="G17" s="16" t="str">
        <f>IF(ISNUMBER(SEARCH($G$2, Main!G42)), Main!E42, "")</f>
        <v/>
      </c>
      <c r="H17" s="16" t="str">
        <f>IF(ISNUMBER(SEARCH($H$2, Main!G42)), Main!E42, "")</f>
        <v/>
      </c>
      <c r="I17" s="16" t="str">
        <f>IF(ISNUMBER(SEARCH($I$2, Main!G42)), Main!E42, "")</f>
        <v/>
      </c>
      <c r="J17" s="16" t="str">
        <f>IF(ISNUMBER(SEARCH($J$2, Main!G42)), Main!E42, "")</f>
        <v/>
      </c>
      <c r="L17" s="16" t="str">
        <f>IF(ISNUMBER(SEARCH($L$2, Main!G42)), Main!H42, "")</f>
        <v/>
      </c>
      <c r="M17" s="16" t="str">
        <f>IF(ISNUMBER(SEARCH($M$2, Main!G42)), Main!H42, "")</f>
        <v/>
      </c>
      <c r="N17" s="16" t="str">
        <f>IF(ISNUMBER(SEARCH($N$2, Main!G42)), Main!H42, "")</f>
        <v/>
      </c>
      <c r="O17" s="16" t="str">
        <f>IF(ISNUMBER(SEARCH($O$2, Main!G42)), Main!H42, "")</f>
        <v/>
      </c>
      <c r="P17" s="16" t="str">
        <f>IF(ISNUMBER(SEARCH($P$2, Main!G42)), Main!H42, "")</f>
        <v/>
      </c>
      <c r="Q17" s="16" t="str">
        <f>IF(ISNUMBER(SEARCH($Q$2, Main!G42)), Main!H42, "")</f>
        <v/>
      </c>
      <c r="R17" s="16" t="str">
        <f>IF(ISNUMBER(SEARCH($R$2, Main!G42)), Main!H42, "")</f>
        <v/>
      </c>
      <c r="S17" s="16" t="str">
        <f>IF(ISNUMBER(SEARCH($S$2, Main!G42)), Main!H42, "")</f>
        <v/>
      </c>
      <c r="T17" s="16" t="str">
        <f>IF(ISNUMBER(SEARCH($T$2, Main!G42)), Main!H42, "")</f>
        <v/>
      </c>
      <c r="U17" s="16" t="str">
        <f>IF(ISNUMBER(SEARCH($U$2, Main!G42)), Main!H42, "")</f>
        <v/>
      </c>
      <c r="W17">
        <f>IF(Main!C44="RTV",Main!E44,0)</f>
        <v>0</v>
      </c>
      <c r="X17">
        <f>IF(Main!C44="PRV",Main!E44,0)</f>
        <v>0</v>
      </c>
      <c r="Y17">
        <f>IF(Main!C44="RMA",Main!E44,0)</f>
        <v>0</v>
      </c>
      <c r="Z17">
        <f>IF(Main!C44="PRV",Main!H44,0)</f>
        <v>0</v>
      </c>
    </row>
    <row r="18" spans="1:26" x14ac:dyDescent="0.3">
      <c r="A18" s="16" t="str">
        <f>IF(ISNUMBER(SEARCH($A$2, Main!#REF!)), Main!#REF!, "")</f>
        <v/>
      </c>
      <c r="B18" s="16" t="str">
        <f>IF(ISNUMBER(SEARCH($B$2, Main!#REF!)), Main!#REF!, "")</f>
        <v/>
      </c>
      <c r="C18" s="16" t="str">
        <f>IF(ISNUMBER(SEARCH($C$2, Main!#REF!)), Main!#REF!, "")</f>
        <v/>
      </c>
      <c r="D18" s="16" t="str">
        <f>IF(ISNUMBER(SEARCH($D$2, Main!#REF!)), Main!#REF!, "")</f>
        <v/>
      </c>
      <c r="E18" s="16" t="str">
        <f>IF(ISNUMBER(SEARCH($E$2, Main!#REF!)), Main!#REF!, "")</f>
        <v/>
      </c>
      <c r="F18" s="16" t="str">
        <f>IF(ISNUMBER(SEARCH($F$2, Main!#REF!)), Main!#REF!, "")</f>
        <v/>
      </c>
      <c r="G18" s="16" t="str">
        <f>IF(ISNUMBER(SEARCH($G$2, Main!#REF!)), Main!#REF!, "")</f>
        <v/>
      </c>
      <c r="H18" s="16" t="str">
        <f>IF(ISNUMBER(SEARCH($H$2, Main!#REF!)), Main!#REF!, "")</f>
        <v/>
      </c>
      <c r="I18" s="16" t="str">
        <f>IF(ISNUMBER(SEARCH($I$2, Main!#REF!)), Main!#REF!, "")</f>
        <v/>
      </c>
      <c r="J18" s="16" t="str">
        <f>IF(ISNUMBER(SEARCH($J$2, Main!#REF!)), Main!#REF!, "")</f>
        <v/>
      </c>
      <c r="L18" s="16" t="str">
        <f>IF(ISNUMBER(SEARCH($L$2, Main!#REF!)), Main!#REF!, "")</f>
        <v/>
      </c>
      <c r="M18" s="16" t="str">
        <f>IF(ISNUMBER(SEARCH($M$2, Main!#REF!)), Main!#REF!, "")</f>
        <v/>
      </c>
      <c r="N18" s="16" t="str">
        <f>IF(ISNUMBER(SEARCH($N$2, Main!#REF!)), Main!#REF!, "")</f>
        <v/>
      </c>
      <c r="O18" s="16" t="str">
        <f>IF(ISNUMBER(SEARCH($O$2, Main!#REF!)), Main!#REF!, "")</f>
        <v/>
      </c>
      <c r="P18" s="16" t="str">
        <f>IF(ISNUMBER(SEARCH($P$2, Main!#REF!)), Main!#REF!, "")</f>
        <v/>
      </c>
      <c r="Q18" s="16" t="str">
        <f>IF(ISNUMBER(SEARCH($Q$2, Main!#REF!)), Main!#REF!, "")</f>
        <v/>
      </c>
      <c r="R18" s="16" t="str">
        <f>IF(ISNUMBER(SEARCH($R$2, Main!#REF!)), Main!#REF!, "")</f>
        <v/>
      </c>
      <c r="S18" s="16" t="str">
        <f>IF(ISNUMBER(SEARCH($S$2, Main!#REF!)), Main!#REF!, "")</f>
        <v/>
      </c>
      <c r="T18" s="16" t="str">
        <f>IF(ISNUMBER(SEARCH($T$2, Main!#REF!)), Main!#REF!, "")</f>
        <v/>
      </c>
      <c r="U18" s="16" t="str">
        <f>IF(ISNUMBER(SEARCH($U$2, Main!#REF!)), Main!#REF!, "")</f>
        <v/>
      </c>
      <c r="W18">
        <f>IF(Main!C45="RTV",Main!E45,0)</f>
        <v>0</v>
      </c>
      <c r="X18">
        <f>IF(Main!C45="PRV",Main!E45,0)</f>
        <v>0</v>
      </c>
      <c r="Y18">
        <f>IF(Main!C45="RMA",Main!E45,0)</f>
        <v>0</v>
      </c>
      <c r="Z18">
        <f>IF(Main!C45="PRV",Main!H45,0)</f>
        <v>0</v>
      </c>
    </row>
    <row r="19" spans="1:26" x14ac:dyDescent="0.3">
      <c r="A19" s="16" t="str">
        <f>IF(ISNUMBER(SEARCH($A$2, Main!G43)), Main!E43, "")</f>
        <v/>
      </c>
      <c r="B19" s="16" t="str">
        <f>IF(ISNUMBER(SEARCH($B$2, Main!G43)), Main!E43, "")</f>
        <v/>
      </c>
      <c r="C19" s="16" t="str">
        <f>IF(ISNUMBER(SEARCH($C$2, Main!G43)), Main!E43, "")</f>
        <v/>
      </c>
      <c r="D19" s="16" t="str">
        <f>IF(ISNUMBER(SEARCH($D$2, Main!G43)), Main!E43, "")</f>
        <v/>
      </c>
      <c r="E19" s="16" t="str">
        <f>IF(ISNUMBER(SEARCH($E$2, Main!G43)), Main!E43, "")</f>
        <v/>
      </c>
      <c r="F19" s="16" t="str">
        <f>IF(ISNUMBER(SEARCH($F$2, Main!G43)), Main!E43, "")</f>
        <v/>
      </c>
      <c r="G19" s="16" t="str">
        <f>IF(ISNUMBER(SEARCH($G$2, Main!G43)), Main!E43, "")</f>
        <v/>
      </c>
      <c r="H19" s="16" t="str">
        <f>IF(ISNUMBER(SEARCH($H$2, Main!G43)), Main!E43, "")</f>
        <v/>
      </c>
      <c r="I19" s="16" t="str">
        <f>IF(ISNUMBER(SEARCH($I$2, Main!G43)), Main!E43, "")</f>
        <v/>
      </c>
      <c r="J19" s="16" t="str">
        <f>IF(ISNUMBER(SEARCH($J$2, Main!G43)), Main!E43, "")</f>
        <v/>
      </c>
      <c r="L19" s="16" t="str">
        <f>IF(ISNUMBER(SEARCH($L$2, Main!G43)), Main!H43, "")</f>
        <v/>
      </c>
      <c r="M19" s="16" t="str">
        <f>IF(ISNUMBER(SEARCH($M$2, Main!G43)), Main!H43, "")</f>
        <v/>
      </c>
      <c r="N19" s="16" t="str">
        <f>IF(ISNUMBER(SEARCH($N$2, Main!G43)), Main!H43, "")</f>
        <v/>
      </c>
      <c r="O19" s="16" t="str">
        <f>IF(ISNUMBER(SEARCH($O$2, Main!G43)), Main!H43, "")</f>
        <v/>
      </c>
      <c r="P19" s="16" t="str">
        <f>IF(ISNUMBER(SEARCH($P$2, Main!G43)), Main!H43, "")</f>
        <v/>
      </c>
      <c r="Q19" s="16" t="str">
        <f>IF(ISNUMBER(SEARCH($Q$2, Main!G43)), Main!H43, "")</f>
        <v/>
      </c>
      <c r="R19" s="16" t="str">
        <f>IF(ISNUMBER(SEARCH($R$2, Main!G43)), Main!H43, "")</f>
        <v/>
      </c>
      <c r="S19" s="16" t="str">
        <f>IF(ISNUMBER(SEARCH($S$2, Main!G43)), Main!H43, "")</f>
        <v/>
      </c>
      <c r="T19" s="16" t="str">
        <f>IF(ISNUMBER(SEARCH($T$2, Main!G43)), Main!H43, "")</f>
        <v/>
      </c>
      <c r="U19" s="16" t="str">
        <f>IF(ISNUMBER(SEARCH($U$2, Main!G43)), Main!H43, "")</f>
        <v/>
      </c>
      <c r="W19">
        <f>IF(Main!C46="RTV",Main!E46,0)</f>
        <v>0</v>
      </c>
      <c r="X19">
        <f>IF(Main!C46="PRV",Main!E46,0)</f>
        <v>0</v>
      </c>
      <c r="Y19">
        <f>IF(Main!C46="RMA",Main!E46,0)</f>
        <v>0</v>
      </c>
      <c r="Z19">
        <f>IF(Main!C46="PRV",Main!H46,0)</f>
        <v>0</v>
      </c>
    </row>
    <row r="20" spans="1:26" x14ac:dyDescent="0.3">
      <c r="A20" s="16" t="str">
        <f>IF(ISNUMBER(SEARCH($A$2, Main!G44)), Main!E44, "")</f>
        <v/>
      </c>
      <c r="B20" s="16" t="str">
        <f>IF(ISNUMBER(SEARCH($B$2, Main!G44)), Main!E44, "")</f>
        <v/>
      </c>
      <c r="C20" s="16" t="str">
        <f>IF(ISNUMBER(SEARCH($C$2, Main!G44)), Main!E44, "")</f>
        <v/>
      </c>
      <c r="D20" s="16" t="str">
        <f>IF(ISNUMBER(SEARCH($D$2, Main!G44)), Main!E44, "")</f>
        <v/>
      </c>
      <c r="E20" s="16" t="str">
        <f>IF(ISNUMBER(SEARCH($E$2, Main!G44)), Main!E44, "")</f>
        <v/>
      </c>
      <c r="F20" s="16" t="str">
        <f>IF(ISNUMBER(SEARCH($F$2, Main!G44)), Main!E44, "")</f>
        <v/>
      </c>
      <c r="G20" s="16" t="str">
        <f>IF(ISNUMBER(SEARCH($G$2, Main!G44)), Main!E44, "")</f>
        <v/>
      </c>
      <c r="H20" s="16" t="str">
        <f>IF(ISNUMBER(SEARCH($H$2, Main!G44)), Main!E44, "")</f>
        <v/>
      </c>
      <c r="I20" s="16" t="str">
        <f>IF(ISNUMBER(SEARCH($I$2, Main!G44)), Main!E44, "")</f>
        <v/>
      </c>
      <c r="J20" s="16" t="str">
        <f>IF(ISNUMBER(SEARCH($J$2, Main!G44)), Main!E44, "")</f>
        <v/>
      </c>
      <c r="L20" s="16" t="str">
        <f>IF(ISNUMBER(SEARCH($L$2, Main!G44)), Main!H44, "")</f>
        <v/>
      </c>
      <c r="M20" s="16" t="str">
        <f>IF(ISNUMBER(SEARCH($M$2, Main!G44)), Main!H44, "")</f>
        <v/>
      </c>
      <c r="N20" s="16" t="str">
        <f>IF(ISNUMBER(SEARCH($N$2, Main!G44)), Main!H44, "")</f>
        <v/>
      </c>
      <c r="O20" s="16" t="str">
        <f>IF(ISNUMBER(SEARCH($O$2, Main!G44)), Main!H44, "")</f>
        <v/>
      </c>
      <c r="P20" s="16" t="str">
        <f>IF(ISNUMBER(SEARCH($P$2, Main!G44)), Main!H44, "")</f>
        <v/>
      </c>
      <c r="Q20" s="16" t="str">
        <f>IF(ISNUMBER(SEARCH($Q$2, Main!G44)), Main!H44, "")</f>
        <v/>
      </c>
      <c r="R20" s="16" t="str">
        <f>IF(ISNUMBER(SEARCH($R$2, Main!G44)), Main!H44, "")</f>
        <v/>
      </c>
      <c r="S20" s="16" t="str">
        <f>IF(ISNUMBER(SEARCH($S$2, Main!G44)), Main!H44, "")</f>
        <v/>
      </c>
      <c r="T20" s="16" t="str">
        <f>IF(ISNUMBER(SEARCH($T$2, Main!G44)), Main!H44, "")</f>
        <v/>
      </c>
      <c r="U20" s="16" t="str">
        <f>IF(ISNUMBER(SEARCH($U$2, Main!G44)), Main!H44, "")</f>
        <v/>
      </c>
      <c r="W20">
        <f>IF(Main!C47="RTV",Main!E47,0)</f>
        <v>0</v>
      </c>
      <c r="X20">
        <f>IF(Main!C47="PRV",Main!E47,0)</f>
        <v>0</v>
      </c>
      <c r="Y20">
        <f>IF(Main!C47="RMA",Main!E47,0)</f>
        <v>0</v>
      </c>
      <c r="Z20">
        <f>IF(Main!C47="PRV",Main!H47,0)</f>
        <v>0</v>
      </c>
    </row>
    <row r="21" spans="1:26" x14ac:dyDescent="0.3">
      <c r="A21" s="16" t="str">
        <f>IF(ISNUMBER(SEARCH($A$2, Main!G45)), Main!E45, "")</f>
        <v/>
      </c>
      <c r="B21" s="16" t="str">
        <f>IF(ISNUMBER(SEARCH($B$2, Main!G45)), Main!E45, "")</f>
        <v/>
      </c>
      <c r="C21" s="16" t="str">
        <f>IF(ISNUMBER(SEARCH($C$2, Main!G45)), Main!E45, "")</f>
        <v/>
      </c>
      <c r="D21" s="16" t="str">
        <f>IF(ISNUMBER(SEARCH($D$2, Main!G45)), Main!E45, "")</f>
        <v/>
      </c>
      <c r="E21" s="16" t="str">
        <f>IF(ISNUMBER(SEARCH($E$2, Main!G45)), Main!E45, "")</f>
        <v/>
      </c>
      <c r="F21" s="16" t="str">
        <f>IF(ISNUMBER(SEARCH($F$2, Main!G45)), Main!E45, "")</f>
        <v/>
      </c>
      <c r="G21" s="16" t="str">
        <f>IF(ISNUMBER(SEARCH($G$2, Main!G45)), Main!E45, "")</f>
        <v/>
      </c>
      <c r="H21" s="16" t="str">
        <f>IF(ISNUMBER(SEARCH($H$2, Main!G45)), Main!E45, "")</f>
        <v/>
      </c>
      <c r="I21" s="16" t="str">
        <f>IF(ISNUMBER(SEARCH($I$2, Main!G45)), Main!E45, "")</f>
        <v/>
      </c>
      <c r="J21" s="16" t="str">
        <f>IF(ISNUMBER(SEARCH($J$2, Main!G45)), Main!E45, "")</f>
        <v/>
      </c>
      <c r="L21" s="16" t="str">
        <f>IF(ISNUMBER(SEARCH($L$2, Main!G45)), Main!H45, "")</f>
        <v/>
      </c>
      <c r="M21" s="16" t="str">
        <f>IF(ISNUMBER(SEARCH($M$2, Main!G45)), Main!H45, "")</f>
        <v/>
      </c>
      <c r="N21" s="16" t="str">
        <f>IF(ISNUMBER(SEARCH($N$2, Main!G45)), Main!H45, "")</f>
        <v/>
      </c>
      <c r="O21" s="16" t="str">
        <f>IF(ISNUMBER(SEARCH($O$2, Main!G45)), Main!H45, "")</f>
        <v/>
      </c>
      <c r="P21" s="16" t="str">
        <f>IF(ISNUMBER(SEARCH($P$2, Main!G45)), Main!H45, "")</f>
        <v/>
      </c>
      <c r="Q21" s="16" t="str">
        <f>IF(ISNUMBER(SEARCH($Q$2, Main!G45)), Main!H45, "")</f>
        <v/>
      </c>
      <c r="R21" s="16" t="str">
        <f>IF(ISNUMBER(SEARCH($R$2, Main!G45)), Main!H45, "")</f>
        <v/>
      </c>
      <c r="S21" s="16" t="str">
        <f>IF(ISNUMBER(SEARCH($S$2, Main!G45)), Main!H45, "")</f>
        <v/>
      </c>
      <c r="T21" s="16" t="str">
        <f>IF(ISNUMBER(SEARCH($T$2, Main!G45)), Main!H45, "")</f>
        <v/>
      </c>
      <c r="U21" s="16" t="str">
        <f>IF(ISNUMBER(SEARCH($U$2, Main!G45)), Main!H45, "")</f>
        <v/>
      </c>
      <c r="W21">
        <f>IF(Main!C48="RTV",Main!E48,0)</f>
        <v>0</v>
      </c>
      <c r="X21">
        <f>IF(Main!C48="PRV",Main!E48,0)</f>
        <v>0</v>
      </c>
      <c r="Y21">
        <f>IF(Main!C48="RMA",Main!E48,0)</f>
        <v>0</v>
      </c>
      <c r="Z21">
        <f>IF(Main!C48="PRV",Main!H48,0)</f>
        <v>0</v>
      </c>
    </row>
    <row r="22" spans="1:26" x14ac:dyDescent="0.3">
      <c r="A22" s="16" t="str">
        <f>IF(ISNUMBER(SEARCH($A$2, Main!G46)), Main!E46, "")</f>
        <v/>
      </c>
      <c r="B22" s="16" t="str">
        <f>IF(ISNUMBER(SEARCH($B$2, Main!G46)), Main!E46, "")</f>
        <v/>
      </c>
      <c r="C22" s="16" t="str">
        <f>IF(ISNUMBER(SEARCH($C$2, Main!G46)), Main!E46, "")</f>
        <v/>
      </c>
      <c r="D22" s="16" t="str">
        <f>IF(ISNUMBER(SEARCH($D$2, Main!G46)), Main!E46, "")</f>
        <v/>
      </c>
      <c r="E22" s="16" t="str">
        <f>IF(ISNUMBER(SEARCH($E$2, Main!G46)), Main!E46, "")</f>
        <v/>
      </c>
      <c r="F22" s="16" t="str">
        <f>IF(ISNUMBER(SEARCH($F$2, Main!G46)), Main!E46, "")</f>
        <v/>
      </c>
      <c r="G22" s="16" t="str">
        <f>IF(ISNUMBER(SEARCH($G$2, Main!G46)), Main!E46, "")</f>
        <v/>
      </c>
      <c r="H22" s="16" t="str">
        <f>IF(ISNUMBER(SEARCH($H$2, Main!G46)), Main!E46, "")</f>
        <v/>
      </c>
      <c r="I22" s="16" t="str">
        <f>IF(ISNUMBER(SEARCH($I$2, Main!G46)), Main!E46, "")</f>
        <v/>
      </c>
      <c r="J22" s="16" t="str">
        <f>IF(ISNUMBER(SEARCH($J$2, Main!G46)), Main!E46, "")</f>
        <v/>
      </c>
      <c r="L22" s="16" t="str">
        <f>IF(ISNUMBER(SEARCH($L$2, Main!G46)), Main!H46, "")</f>
        <v/>
      </c>
      <c r="M22" s="16" t="str">
        <f>IF(ISNUMBER(SEARCH($M$2, Main!G46)), Main!H46, "")</f>
        <v/>
      </c>
      <c r="N22" s="16" t="str">
        <f>IF(ISNUMBER(SEARCH($N$2, Main!G46)), Main!H46, "")</f>
        <v/>
      </c>
      <c r="O22" s="16" t="str">
        <f>IF(ISNUMBER(SEARCH($O$2, Main!G46)), Main!H46, "")</f>
        <v/>
      </c>
      <c r="P22" s="16" t="str">
        <f>IF(ISNUMBER(SEARCH($P$2, Main!G46)), Main!H46, "")</f>
        <v/>
      </c>
      <c r="Q22" s="16" t="str">
        <f>IF(ISNUMBER(SEARCH($Q$2, Main!G46)), Main!H46, "")</f>
        <v/>
      </c>
      <c r="R22" s="16" t="str">
        <f>IF(ISNUMBER(SEARCH($R$2, Main!G46)), Main!H46, "")</f>
        <v/>
      </c>
      <c r="S22" s="16" t="str">
        <f>IF(ISNUMBER(SEARCH($S$2, Main!G46)), Main!H46, "")</f>
        <v/>
      </c>
      <c r="T22" s="16" t="str">
        <f>IF(ISNUMBER(SEARCH($T$2, Main!G46)), Main!H46, "")</f>
        <v/>
      </c>
      <c r="U22" s="16" t="str">
        <f>IF(ISNUMBER(SEARCH($U$2, Main!G46)), Main!H46, "")</f>
        <v/>
      </c>
      <c r="W22">
        <f>IF(Main!C49="RTV",Main!E49,0)</f>
        <v>0</v>
      </c>
      <c r="X22">
        <f>IF(Main!C49="PRV",Main!E49,0)</f>
        <v>0</v>
      </c>
      <c r="Y22">
        <f>IF(Main!C49="RMA",Main!E49,0)</f>
        <v>0</v>
      </c>
      <c r="Z22">
        <f>IF(Main!C49="PRV",Main!H49,0)</f>
        <v>0</v>
      </c>
    </row>
    <row r="23" spans="1:26" x14ac:dyDescent="0.3">
      <c r="A23" s="16" t="str">
        <f>IF(ISNUMBER(SEARCH($A$2, Main!G47)), Main!E47, "")</f>
        <v/>
      </c>
      <c r="B23" s="16" t="str">
        <f>IF(ISNUMBER(SEARCH($B$2, Main!G47)), Main!E47, "")</f>
        <v/>
      </c>
      <c r="C23" s="16" t="str">
        <f>IF(ISNUMBER(SEARCH($C$2, Main!G47)), Main!E47, "")</f>
        <v/>
      </c>
      <c r="D23" s="16" t="str">
        <f>IF(ISNUMBER(SEARCH($D$2, Main!G47)), Main!E47, "")</f>
        <v/>
      </c>
      <c r="E23" s="16" t="str">
        <f>IF(ISNUMBER(SEARCH($E$2, Main!G47)), Main!E47, "")</f>
        <v/>
      </c>
      <c r="F23" s="16" t="str">
        <f>IF(ISNUMBER(SEARCH($F$2, Main!G47)), Main!E47, "")</f>
        <v/>
      </c>
      <c r="G23" s="16" t="str">
        <f>IF(ISNUMBER(SEARCH($G$2, Main!G47)), Main!E47, "")</f>
        <v/>
      </c>
      <c r="H23" s="16" t="str">
        <f>IF(ISNUMBER(SEARCH($H$2, Main!G47)), Main!E47, "")</f>
        <v/>
      </c>
      <c r="I23" s="16" t="str">
        <f>IF(ISNUMBER(SEARCH($I$2, Main!G47)), Main!E47, "")</f>
        <v/>
      </c>
      <c r="J23" s="16" t="str">
        <f>IF(ISNUMBER(SEARCH($J$2, Main!G47)), Main!E47, "")</f>
        <v/>
      </c>
      <c r="L23" s="16" t="str">
        <f>IF(ISNUMBER(SEARCH($L$2, Main!G47)), Main!H47, "")</f>
        <v/>
      </c>
      <c r="M23" s="16" t="str">
        <f>IF(ISNUMBER(SEARCH($M$2, Main!G47)), Main!H47, "")</f>
        <v/>
      </c>
      <c r="N23" s="16" t="str">
        <f>IF(ISNUMBER(SEARCH($N$2, Main!G47)), Main!H47, "")</f>
        <v/>
      </c>
      <c r="O23" s="16" t="str">
        <f>IF(ISNUMBER(SEARCH($O$2, Main!G47)), Main!H47, "")</f>
        <v/>
      </c>
      <c r="P23" s="16" t="str">
        <f>IF(ISNUMBER(SEARCH($P$2, Main!G47)), Main!H47, "")</f>
        <v/>
      </c>
      <c r="Q23" s="16" t="str">
        <f>IF(ISNUMBER(SEARCH($Q$2, Main!G47)), Main!H47, "")</f>
        <v/>
      </c>
      <c r="R23" s="16" t="str">
        <f>IF(ISNUMBER(SEARCH($R$2, Main!G47)), Main!H47, "")</f>
        <v/>
      </c>
      <c r="S23" s="16" t="str">
        <f>IF(ISNUMBER(SEARCH($S$2, Main!G47)), Main!H47, "")</f>
        <v/>
      </c>
      <c r="T23" s="16" t="str">
        <f>IF(ISNUMBER(SEARCH($T$2, Main!G47)), Main!H47, "")</f>
        <v/>
      </c>
      <c r="U23" s="16" t="str">
        <f>IF(ISNUMBER(SEARCH($U$2, Main!G47)), Main!H47, "")</f>
        <v/>
      </c>
      <c r="W23">
        <f>IF(Main!C50="RTV",Main!E50,0)</f>
        <v>0</v>
      </c>
      <c r="X23">
        <f>IF(Main!C50="PRV",Main!E50,0)</f>
        <v>0</v>
      </c>
      <c r="Y23">
        <f>IF(Main!C50="RMA",Main!E50,0)</f>
        <v>0</v>
      </c>
      <c r="Z23">
        <f>IF(Main!C50="PRV",Main!H50,0)</f>
        <v>0</v>
      </c>
    </row>
    <row r="24" spans="1:26" x14ac:dyDescent="0.3">
      <c r="A24" s="16" t="str">
        <f>IF(ISNUMBER(SEARCH($A$2, Main!G48)), Main!E48, "")</f>
        <v/>
      </c>
      <c r="B24" s="16" t="str">
        <f>IF(ISNUMBER(SEARCH($B$2, Main!G48)), Main!E48, "")</f>
        <v/>
      </c>
      <c r="C24" s="16" t="str">
        <f>IF(ISNUMBER(SEARCH($C$2, Main!G48)), Main!E48, "")</f>
        <v/>
      </c>
      <c r="D24" s="16" t="str">
        <f>IF(ISNUMBER(SEARCH($D$2, Main!G48)), Main!E48, "")</f>
        <v/>
      </c>
      <c r="E24" s="16" t="str">
        <f>IF(ISNUMBER(SEARCH($E$2, Main!G48)), Main!E48, "")</f>
        <v/>
      </c>
      <c r="F24" s="16" t="str">
        <f>IF(ISNUMBER(SEARCH($F$2, Main!G48)), Main!E48, "")</f>
        <v/>
      </c>
      <c r="G24" s="16" t="str">
        <f>IF(ISNUMBER(SEARCH($G$2, Main!G48)), Main!E48, "")</f>
        <v/>
      </c>
      <c r="H24" s="16" t="str">
        <f>IF(ISNUMBER(SEARCH($H$2, Main!G48)), Main!E48, "")</f>
        <v/>
      </c>
      <c r="I24" s="16" t="str">
        <f>IF(ISNUMBER(SEARCH($I$2, Main!G48)), Main!E48, "")</f>
        <v/>
      </c>
      <c r="J24" s="16" t="str">
        <f>IF(ISNUMBER(SEARCH($J$2, Main!G48)), Main!E48, "")</f>
        <v/>
      </c>
      <c r="L24" s="16" t="str">
        <f>IF(ISNUMBER(SEARCH($L$2, Main!G48)), Main!H48, "")</f>
        <v/>
      </c>
      <c r="M24" s="16" t="str">
        <f>IF(ISNUMBER(SEARCH($M$2, Main!G48)), Main!H48, "")</f>
        <v/>
      </c>
      <c r="N24" s="16" t="str">
        <f>IF(ISNUMBER(SEARCH($N$2, Main!G48)), Main!H48, "")</f>
        <v/>
      </c>
      <c r="O24" s="16" t="str">
        <f>IF(ISNUMBER(SEARCH($O$2, Main!G48)), Main!H48, "")</f>
        <v/>
      </c>
      <c r="P24" s="16" t="str">
        <f>IF(ISNUMBER(SEARCH($P$2, Main!G48)), Main!H48, "")</f>
        <v/>
      </c>
      <c r="Q24" s="16" t="str">
        <f>IF(ISNUMBER(SEARCH($Q$2, Main!G48)), Main!H48, "")</f>
        <v/>
      </c>
      <c r="R24" s="16" t="str">
        <f>IF(ISNUMBER(SEARCH($R$2, Main!G48)), Main!H48, "")</f>
        <v/>
      </c>
      <c r="S24" s="16" t="str">
        <f>IF(ISNUMBER(SEARCH($S$2, Main!G48)), Main!H48, "")</f>
        <v/>
      </c>
      <c r="T24" s="16" t="str">
        <f>IF(ISNUMBER(SEARCH($T$2, Main!G48)), Main!H48, "")</f>
        <v/>
      </c>
      <c r="U24" s="16" t="str">
        <f>IF(ISNUMBER(SEARCH($U$2, Main!G48)), Main!H48, "")</f>
        <v/>
      </c>
      <c r="W24">
        <f>IF(Main!C51="RTV",Main!E51,0)</f>
        <v>0</v>
      </c>
      <c r="X24">
        <f>IF(Main!C51="PRV",Main!E51,0)</f>
        <v>0</v>
      </c>
      <c r="Y24">
        <f>IF(Main!C51="RMA",Main!E51,0)</f>
        <v>0</v>
      </c>
      <c r="Z24">
        <f>IF(Main!C51="PRV",Main!H51,0)</f>
        <v>0</v>
      </c>
    </row>
    <row r="25" spans="1:26" x14ac:dyDescent="0.3">
      <c r="A25" s="52"/>
      <c r="B25" s="52"/>
      <c r="C25" s="52"/>
      <c r="D25" s="52"/>
      <c r="E25" s="52"/>
      <c r="F25" s="52"/>
      <c r="G25" s="52"/>
      <c r="H25" s="52"/>
      <c r="I25" s="52"/>
      <c r="J25" s="52"/>
      <c r="L25" s="132"/>
      <c r="M25" s="132"/>
      <c r="N25" s="132"/>
      <c r="O25" s="132"/>
      <c r="P25" s="132"/>
      <c r="Q25" s="132"/>
      <c r="R25" s="132"/>
      <c r="S25" s="132"/>
      <c r="T25" s="132"/>
      <c r="U25" s="132"/>
      <c r="W25" s="132"/>
      <c r="X25" s="132"/>
      <c r="Y25" s="132"/>
      <c r="Z25" s="132"/>
    </row>
    <row r="26" spans="1:26" x14ac:dyDescent="0.3">
      <c r="A26" s="134">
        <f>SUM(A3:A24)</f>
        <v>0</v>
      </c>
      <c r="B26" s="134">
        <f t="shared" ref="B26:J26" si="0">SUM(B3:B24)</f>
        <v>0</v>
      </c>
      <c r="C26" s="134">
        <f t="shared" si="0"/>
        <v>0</v>
      </c>
      <c r="D26" s="134">
        <f t="shared" si="0"/>
        <v>0</v>
      </c>
      <c r="E26" s="134">
        <f t="shared" si="0"/>
        <v>0</v>
      </c>
      <c r="F26" s="134">
        <f t="shared" si="0"/>
        <v>0</v>
      </c>
      <c r="G26" s="134">
        <f t="shared" si="0"/>
        <v>0</v>
      </c>
      <c r="H26" s="134">
        <f t="shared" si="0"/>
        <v>0</v>
      </c>
      <c r="I26" s="134">
        <f t="shared" si="0"/>
        <v>0</v>
      </c>
      <c r="J26" s="134">
        <f t="shared" si="0"/>
        <v>0</v>
      </c>
      <c r="L26" s="134">
        <f>SUM(L3:L24)</f>
        <v>0</v>
      </c>
      <c r="M26" s="134">
        <f t="shared" ref="M26:U26" si="1">SUM(M3:M24)</f>
        <v>0</v>
      </c>
      <c r="N26" s="134">
        <f t="shared" si="1"/>
        <v>0</v>
      </c>
      <c r="O26" s="134">
        <f t="shared" si="1"/>
        <v>0</v>
      </c>
      <c r="P26" s="134">
        <f t="shared" si="1"/>
        <v>0</v>
      </c>
      <c r="Q26" s="134">
        <f t="shared" si="1"/>
        <v>0</v>
      </c>
      <c r="R26" s="134">
        <f t="shared" si="1"/>
        <v>0</v>
      </c>
      <c r="S26" s="134">
        <f t="shared" si="1"/>
        <v>0</v>
      </c>
      <c r="T26" s="134">
        <f t="shared" si="1"/>
        <v>0</v>
      </c>
      <c r="U26" s="134">
        <f t="shared" si="1"/>
        <v>0</v>
      </c>
      <c r="W26" s="134">
        <f>SUM(W3:W24)</f>
        <v>0</v>
      </c>
      <c r="X26" s="134">
        <f t="shared" ref="X26:Y26" si="2">SUM(X3:X24)</f>
        <v>0</v>
      </c>
      <c r="Y26" s="134">
        <f t="shared" si="2"/>
        <v>0</v>
      </c>
      <c r="Z26" s="134">
        <f t="shared" ref="Z26" si="3">SUM(Z3:Z24)</f>
        <v>0</v>
      </c>
    </row>
    <row r="40" spans="1:21" ht="21.6" x14ac:dyDescent="0.45">
      <c r="A40" s="200" t="s">
        <v>102</v>
      </c>
      <c r="B40" s="200"/>
      <c r="C40" s="200"/>
      <c r="D40" s="200"/>
      <c r="E40" s="200"/>
      <c r="F40" s="200"/>
      <c r="G40" s="200"/>
      <c r="H40" s="200"/>
      <c r="I40" s="200"/>
      <c r="J40" s="200"/>
      <c r="L40" s="200" t="s">
        <v>103</v>
      </c>
      <c r="M40" s="200"/>
      <c r="N40" s="200"/>
      <c r="O40" s="200"/>
      <c r="P40" s="200"/>
      <c r="Q40" s="200"/>
      <c r="R40" s="200"/>
      <c r="S40" s="200"/>
      <c r="T40" s="200"/>
      <c r="U40" s="200"/>
    </row>
    <row r="41" spans="1:21" x14ac:dyDescent="0.3">
      <c r="A41" s="53" t="s">
        <v>86</v>
      </c>
      <c r="B41" s="54" t="s">
        <v>87</v>
      </c>
      <c r="C41" s="53" t="s">
        <v>88</v>
      </c>
      <c r="D41" s="53" t="s">
        <v>89</v>
      </c>
      <c r="E41" s="53" t="s">
        <v>90</v>
      </c>
      <c r="F41" s="55" t="s">
        <v>91</v>
      </c>
      <c r="G41" s="55" t="s">
        <v>85</v>
      </c>
      <c r="H41" s="55" t="s">
        <v>13</v>
      </c>
      <c r="I41" s="55" t="s">
        <v>92</v>
      </c>
      <c r="J41" s="55" t="s">
        <v>83</v>
      </c>
      <c r="L41" s="53" t="s">
        <v>86</v>
      </c>
      <c r="M41" s="54" t="s">
        <v>87</v>
      </c>
      <c r="N41" s="53" t="s">
        <v>88</v>
      </c>
      <c r="O41" s="53" t="s">
        <v>89</v>
      </c>
      <c r="P41" s="53" t="s">
        <v>90</v>
      </c>
      <c r="Q41" s="55" t="s">
        <v>91</v>
      </c>
      <c r="R41" s="55" t="s">
        <v>85</v>
      </c>
      <c r="S41" s="55" t="s">
        <v>13</v>
      </c>
      <c r="T41" s="55" t="s">
        <v>92</v>
      </c>
      <c r="U41" s="55" t="s">
        <v>83</v>
      </c>
    </row>
    <row r="42" spans="1:21" x14ac:dyDescent="0.3">
      <c r="A42" s="16">
        <f>IF(AND(Main!C30="RMA", ISNUMBER(SEARCH($A$41, Main!G30))), Main!H30, 0)</f>
        <v>0</v>
      </c>
      <c r="B42" s="16">
        <f>IF(AND(Main!C30="RMA", ISNUMBER(SEARCH($B$41, Main!G30))), Main!H30, 0)</f>
        <v>0</v>
      </c>
      <c r="C42" s="16">
        <f>IF(AND(Main!C30="RMA", ISNUMBER(SEARCH($C$41, Main!G30))), Main!H30, 0)</f>
        <v>0</v>
      </c>
      <c r="D42" s="16">
        <f>IF(AND(Main!C30="RMA", ISNUMBER(SEARCH($D$41, Main!G30))), Main!H30, 0)</f>
        <v>0</v>
      </c>
      <c r="E42" s="16">
        <f>IF(AND(Main!C30="RMA", ISNUMBER(SEARCH($E$41, Main!G30))), Main!H30, 0)</f>
        <v>0</v>
      </c>
      <c r="F42" s="16">
        <f>IF(AND(Main!C30="RMA", ISNUMBER(SEARCH($F$41, Main!G30))), Main!H30, 0)</f>
        <v>0</v>
      </c>
      <c r="G42" s="16">
        <f>IF(AND(Main!C30="RMA", ISNUMBER(SEARCH($G$41, Main!G30))), Main!H30, 0)</f>
        <v>0</v>
      </c>
      <c r="H42" s="16">
        <f>IF(AND(Main!C30="RMA", ISNUMBER(SEARCH($H$41, Main!G30))), Main!H30, 0)</f>
        <v>0</v>
      </c>
      <c r="I42" s="16">
        <f>IF(AND(Main!C30="RMA", ISNUMBER(SEARCH($I$41, Main!G30))), Main!H30, 0)</f>
        <v>0</v>
      </c>
      <c r="J42" s="16">
        <f>IF(AND(Main!C30="RMA", ISNUMBER(SEARCH($J$41, Main!G30))), Main!H30, 0)</f>
        <v>0</v>
      </c>
      <c r="L42" s="16">
        <f>IF(AND(Main!C30="RTV", ISNUMBER(SEARCH($A$41, Main!G30))), Main!H30, 0)</f>
        <v>0</v>
      </c>
      <c r="M42" s="16">
        <f>IF(AND(Main!C30="RTV", ISNUMBER(SEARCH($B$41, Main!G30))), Main!H30, 0)</f>
        <v>0</v>
      </c>
      <c r="N42" s="16">
        <f>IF(AND(Main!C30="RTV", ISNUMBER(SEARCH($C$41, Main!G30))), Main!H30, 0)</f>
        <v>0</v>
      </c>
      <c r="O42" s="16">
        <f>IF(AND(Main!C30="RTV", ISNUMBER(SEARCH($D$41, Main!G30))), Main!H30, 0)</f>
        <v>0</v>
      </c>
      <c r="P42" s="16">
        <f>IF(AND(Main!C30="RTV", ISNUMBER(SEARCH($E$41, Main!G30))), Main!H30, 0)</f>
        <v>0</v>
      </c>
      <c r="Q42" s="16">
        <f>IF(AND(Main!C30="RTV", ISNUMBER(SEARCH($F$41, Main!G30))), Main!H30, 0)</f>
        <v>0</v>
      </c>
      <c r="R42" s="16">
        <f>IF(AND(Main!C30="RTV", ISNUMBER(SEARCH($G$41, Main!G30))), Main!H30, 0)</f>
        <v>0</v>
      </c>
      <c r="S42" s="16">
        <f>IF(AND(Main!C30="RTV", ISNUMBER(SEARCH($H$41, Main!G30))), Main!H30, 0)</f>
        <v>0</v>
      </c>
      <c r="T42" s="16">
        <f>IF(AND(Main!C30="RTV", ISNUMBER(SEARCH($I$41, Main!G30))), Main!H30, 0)</f>
        <v>0</v>
      </c>
      <c r="U42" s="16">
        <f>IF(AND(Main!C30="RTV", ISNUMBER(SEARCH($J$41, Main!G30))), Main!H30, 0)</f>
        <v>0</v>
      </c>
    </row>
    <row r="43" spans="1:21" x14ac:dyDescent="0.3">
      <c r="A43" s="16">
        <f>IF(AND(Main!C31="RMA", ISNUMBER(SEARCH($A$41, Main!G31))), Main!H31, 0)</f>
        <v>0</v>
      </c>
      <c r="B43" s="16">
        <f>IF(AND(Main!C31="RMA", ISNUMBER(SEARCH($B$41, Main!G31))), Main!H31, 0)</f>
        <v>0</v>
      </c>
      <c r="C43" s="16">
        <f>IF(AND(Main!C31="RMA", ISNUMBER(SEARCH($C$41, Main!G31))), Main!H31, 0)</f>
        <v>0</v>
      </c>
      <c r="D43" s="16">
        <f>IF(AND(Main!C31="RMA", ISNUMBER(SEARCH($D$41, Main!G31))), Main!H31, 0)</f>
        <v>0</v>
      </c>
      <c r="E43" s="16">
        <f>IF(AND(Main!C31="RMA", ISNUMBER(SEARCH($E$41, Main!G31))), Main!H31, 0)</f>
        <v>0</v>
      </c>
      <c r="F43" s="16">
        <f>IF(AND(Main!C31="RMA", ISNUMBER(SEARCH($F$41, Main!G31))), Main!H31, 0)</f>
        <v>0</v>
      </c>
      <c r="G43" s="16">
        <f>IF(AND(Main!C31="RMA", ISNUMBER(SEARCH($G$41, Main!G31))), Main!H31, 0)</f>
        <v>0</v>
      </c>
      <c r="H43" s="16">
        <f>IF(AND(Main!C31="RMA", ISNUMBER(SEARCH($H$41, Main!G31))), Main!H31, 0)</f>
        <v>0</v>
      </c>
      <c r="I43" s="16">
        <f>IF(AND(Main!C31="RMA", ISNUMBER(SEARCH($I$41, Main!G31))), Main!H31, 0)</f>
        <v>0</v>
      </c>
      <c r="J43" s="16">
        <f>IF(AND(Main!C31="RMA", ISNUMBER(SEARCH($J$41, Main!G31))), Main!H31, 0)</f>
        <v>0</v>
      </c>
      <c r="L43" s="16">
        <f>IF(AND(Main!C31="RTV", ISNUMBER(SEARCH($A$41, Main!G31))), Main!H31, 0)</f>
        <v>0</v>
      </c>
      <c r="M43" s="16">
        <f>IF(AND(Main!C31="RTV", ISNUMBER(SEARCH($B$41, Main!G31))), Main!H31, 0)</f>
        <v>0</v>
      </c>
      <c r="N43" s="16">
        <f>IF(AND(Main!C31="RTV", ISNUMBER(SEARCH($C$41, Main!G31))), Main!H31, 0)</f>
        <v>0</v>
      </c>
      <c r="O43" s="16">
        <f>IF(AND(Main!C31="RTV", ISNUMBER(SEARCH($D$41, Main!G31))), Main!H31, 0)</f>
        <v>0</v>
      </c>
      <c r="P43" s="16">
        <f>IF(AND(Main!C31="RTV", ISNUMBER(SEARCH($E$41, Main!G31))), Main!H31, 0)</f>
        <v>0</v>
      </c>
      <c r="Q43" s="16">
        <f>IF(AND(Main!C31="RTV", ISNUMBER(SEARCH($F$41, Main!G31))), Main!H31, 0)</f>
        <v>0</v>
      </c>
      <c r="R43" s="16">
        <f>IF(AND(Main!C31="RTV", ISNUMBER(SEARCH($G$41, Main!G31))), Main!H31, 0)</f>
        <v>0</v>
      </c>
      <c r="S43" s="16">
        <f>IF(AND(Main!C31="RTV", ISNUMBER(SEARCH($H$41, Main!G31))), Main!H31, 0)</f>
        <v>0</v>
      </c>
      <c r="T43" s="16">
        <f>IF(AND(Main!C31="RTV", ISNUMBER(SEARCH($I$41, Main!G31))), Main!H31, 0)</f>
        <v>0</v>
      </c>
      <c r="U43" s="16">
        <f>IF(AND(Main!C31="RTV", ISNUMBER(SEARCH($J$41, Main!G31))), Main!H31, 0)</f>
        <v>0</v>
      </c>
    </row>
    <row r="44" spans="1:21" x14ac:dyDescent="0.3">
      <c r="A44" s="16">
        <f>IF(AND(Main!C32="RMA", ISNUMBER(SEARCH($A$41, Main!G32))), Main!H32, 0)</f>
        <v>0</v>
      </c>
      <c r="B44" s="16">
        <f>IF(AND(Main!C32="RMA", ISNUMBER(SEARCH($B$41, Main!G32))), Main!H32, 0)</f>
        <v>0</v>
      </c>
      <c r="C44" s="16">
        <f>IF(AND(Main!C32="RMA", ISNUMBER(SEARCH($C$41, Main!G32))), Main!H32, 0)</f>
        <v>0</v>
      </c>
      <c r="D44" s="16">
        <f>IF(AND(Main!C32="RMA", ISNUMBER(SEARCH($D$41, Main!G32))), Main!H32, 0)</f>
        <v>0</v>
      </c>
      <c r="E44" s="16">
        <f>IF(AND(Main!C32="RMA", ISNUMBER(SEARCH($E$41, Main!G32))), Main!H32, 0)</f>
        <v>0</v>
      </c>
      <c r="F44" s="16">
        <f>IF(AND(Main!C32="RMA", ISNUMBER(SEARCH($F$41, Main!G32))), Main!H32, 0)</f>
        <v>0</v>
      </c>
      <c r="G44" s="16">
        <f>IF(AND(Main!C32="RMA", ISNUMBER(SEARCH($G$41, Main!G32))), Main!H32, 0)</f>
        <v>0</v>
      </c>
      <c r="H44" s="16">
        <f>IF(AND(Main!C32="RMA", ISNUMBER(SEARCH($H$41, Main!G32))), Main!H32, 0)</f>
        <v>0</v>
      </c>
      <c r="I44" s="16">
        <f>IF(AND(Main!C32="RMA", ISNUMBER(SEARCH($I$41, Main!G32))), Main!H32, 0)</f>
        <v>0</v>
      </c>
      <c r="J44" s="16">
        <f>IF(AND(Main!C32="RMA", ISNUMBER(SEARCH($J$41, Main!G32))), Main!H32, 0)</f>
        <v>0</v>
      </c>
      <c r="L44" s="16">
        <f>IF(AND(Main!C32="RTV", ISNUMBER(SEARCH($A$41, Main!G32))), Main!H32, 0)</f>
        <v>0</v>
      </c>
      <c r="M44" s="16">
        <f>IF(AND(Main!C32="RTV", ISNUMBER(SEARCH($B$41, Main!G32))), Main!H32, 0)</f>
        <v>0</v>
      </c>
      <c r="N44" s="16">
        <f>IF(AND(Main!C32="RTV", ISNUMBER(SEARCH($C$41, Main!G32))), Main!H32, 0)</f>
        <v>0</v>
      </c>
      <c r="O44" s="16">
        <f>IF(AND(Main!C32="RTV", ISNUMBER(SEARCH($D$41, Main!G32))), Main!H32, 0)</f>
        <v>0</v>
      </c>
      <c r="P44" s="16">
        <f>IF(AND(Main!C32="RTV", ISNUMBER(SEARCH($E$41, Main!G32))), Main!H32, 0)</f>
        <v>0</v>
      </c>
      <c r="Q44" s="16">
        <f>IF(AND(Main!C32="RTV", ISNUMBER(SEARCH($F$41, Main!G32))), Main!H32, 0)</f>
        <v>0</v>
      </c>
      <c r="R44" s="16">
        <f>IF(AND(Main!C32="RTV", ISNUMBER(SEARCH($G$41, Main!G32))), Main!H32, 0)</f>
        <v>0</v>
      </c>
      <c r="S44" s="16">
        <f>IF(AND(Main!C32="RTV", ISNUMBER(SEARCH($H$41, Main!G32))), Main!H32, 0)</f>
        <v>0</v>
      </c>
      <c r="T44" s="16">
        <f>IF(AND(Main!C32="RTV", ISNUMBER(SEARCH($I$41, Main!G32))), Main!H32, 0)</f>
        <v>0</v>
      </c>
      <c r="U44" s="16">
        <f>IF(AND(Main!C32="RTV", ISNUMBER(SEARCH($J$41, Main!G32))), Main!H32, 0)</f>
        <v>0</v>
      </c>
    </row>
    <row r="45" spans="1:21" x14ac:dyDescent="0.3">
      <c r="A45" s="16">
        <f>IF(AND(Main!C33="RMA", ISNUMBER(SEARCH($A$41, Main!G33))), Main!H33, 0)</f>
        <v>0</v>
      </c>
      <c r="B45" s="16">
        <f>IF(AND(Main!C33="RMA", ISNUMBER(SEARCH($B$41, Main!G33))), Main!H33, 0)</f>
        <v>0</v>
      </c>
      <c r="C45" s="16">
        <f>IF(AND(Main!C33="RMA", ISNUMBER(SEARCH($C$41, Main!G33))), Main!H33, 0)</f>
        <v>0</v>
      </c>
      <c r="D45" s="16">
        <f>IF(AND(Main!C33="RMA", ISNUMBER(SEARCH($D$41, Main!G33))), Main!H33, 0)</f>
        <v>0</v>
      </c>
      <c r="E45" s="16">
        <f>IF(AND(Main!C33="RMA", ISNUMBER(SEARCH($E$41, Main!G33))), Main!H33, 0)</f>
        <v>0</v>
      </c>
      <c r="F45" s="16">
        <f>IF(AND(Main!C33="RMA", ISNUMBER(SEARCH($F$41, Main!G33))), Main!H33, 0)</f>
        <v>0</v>
      </c>
      <c r="G45" s="16">
        <f>IF(AND(Main!C33="RMA", ISNUMBER(SEARCH($G$41, Main!G33))), Main!H33, 0)</f>
        <v>0</v>
      </c>
      <c r="H45" s="16">
        <f>IF(AND(Main!C33="RMA", ISNUMBER(SEARCH($H$41, Main!G33))), Main!H33, 0)</f>
        <v>0</v>
      </c>
      <c r="I45" s="16">
        <f>IF(AND(Main!C33="RMA", ISNUMBER(SEARCH($I$41, Main!G33))), Main!H33, 0)</f>
        <v>0</v>
      </c>
      <c r="J45" s="16">
        <f>IF(AND(Main!C33="RMA", ISNUMBER(SEARCH($J$41, Main!G33))), Main!H33, 0)</f>
        <v>0</v>
      </c>
      <c r="L45" s="16">
        <f>IF(AND(Main!C33="RTV", ISNUMBER(SEARCH($A$41, Main!G33))), Main!H33, 0)</f>
        <v>0</v>
      </c>
      <c r="M45" s="16">
        <f>IF(AND(Main!C33="RTV", ISNUMBER(SEARCH($B$41, Main!G33))), Main!H33, 0)</f>
        <v>0</v>
      </c>
      <c r="N45" s="16">
        <f>IF(AND(Main!C33="RTV", ISNUMBER(SEARCH($C$41, Main!G33))), Main!H33, 0)</f>
        <v>0</v>
      </c>
      <c r="O45" s="16">
        <f>IF(AND(Main!C33="RTV", ISNUMBER(SEARCH($D$41, Main!G33))), Main!H33, 0)</f>
        <v>0</v>
      </c>
      <c r="P45" s="16">
        <f>IF(AND(Main!C33="RTV", ISNUMBER(SEARCH($E$41, Main!G33))), Main!H33, 0)</f>
        <v>0</v>
      </c>
      <c r="Q45" s="16">
        <f>IF(AND(Main!C33="RTV", ISNUMBER(SEARCH($F$41, Main!G33))), Main!H33, 0)</f>
        <v>0</v>
      </c>
      <c r="R45" s="16">
        <f>IF(AND(Main!C33="RTV", ISNUMBER(SEARCH($G$41, Main!G33))), Main!H33, 0)</f>
        <v>0</v>
      </c>
      <c r="S45" s="16">
        <f>IF(AND(Main!C33="RTV", ISNUMBER(SEARCH($H$41, Main!G33))), Main!H33, 0)</f>
        <v>0</v>
      </c>
      <c r="T45" s="16">
        <f>IF(AND(Main!C33="RTV", ISNUMBER(SEARCH($I$41, Main!G33))), Main!H33, 0)</f>
        <v>0</v>
      </c>
      <c r="U45" s="16">
        <f>IF(AND(Main!C33="RTV", ISNUMBER(SEARCH($J$41, Main!G33))), Main!H33, 0)</f>
        <v>0</v>
      </c>
    </row>
    <row r="46" spans="1:21" x14ac:dyDescent="0.3">
      <c r="A46" s="16">
        <f>IF(AND(Main!C34="RMA", ISNUMBER(SEARCH($A$41, Main!G34))), Main!H34, 0)</f>
        <v>0</v>
      </c>
      <c r="B46" s="16">
        <f>IF(AND(Main!C34="RMA", ISNUMBER(SEARCH($B$41, Main!G34))), Main!H34, 0)</f>
        <v>0</v>
      </c>
      <c r="C46" s="16">
        <f>IF(AND(Main!C34="RMA", ISNUMBER(SEARCH($C$41, Main!G34))), Main!H34, 0)</f>
        <v>0</v>
      </c>
      <c r="D46" s="16">
        <f>IF(AND(Main!C34="RMA", ISNUMBER(SEARCH($D$41, Main!G34))), Main!H34, 0)</f>
        <v>0</v>
      </c>
      <c r="E46" s="16">
        <f>IF(AND(Main!C34="RMA", ISNUMBER(SEARCH($E$41, Main!G34))), Main!H34, 0)</f>
        <v>0</v>
      </c>
      <c r="F46" s="16">
        <f>IF(AND(Main!C34="RMA", ISNUMBER(SEARCH($F$41, Main!G34))), Main!H34, 0)</f>
        <v>0</v>
      </c>
      <c r="G46" s="16">
        <f>IF(AND(Main!C34="RMA", ISNUMBER(SEARCH($G$41, Main!G34))), Main!H34, 0)</f>
        <v>0</v>
      </c>
      <c r="H46" s="16">
        <f>IF(AND(Main!C34="RMA", ISNUMBER(SEARCH($H$41, Main!G34))), Main!H34, 0)</f>
        <v>0</v>
      </c>
      <c r="I46" s="16">
        <f>IF(AND(Main!C34="RMA", ISNUMBER(SEARCH($I$41, Main!G34))), Main!H34, 0)</f>
        <v>0</v>
      </c>
      <c r="J46" s="16">
        <f>IF(AND(Main!C34="RMA", ISNUMBER(SEARCH($J$41, Main!G34))), Main!H34, 0)</f>
        <v>0</v>
      </c>
      <c r="L46" s="16">
        <f>IF(AND(Main!C34="RTV", ISNUMBER(SEARCH($A$41, Main!G34))), Main!H34, 0)</f>
        <v>0</v>
      </c>
      <c r="M46" s="16">
        <f>IF(AND(Main!C34="RTV", ISNUMBER(SEARCH($B$41, Main!G34))), Main!H34, 0)</f>
        <v>0</v>
      </c>
      <c r="N46" s="16">
        <f>IF(AND(Main!C34="RTV", ISNUMBER(SEARCH($C$41, Main!G34))), Main!H34, 0)</f>
        <v>0</v>
      </c>
      <c r="O46" s="16">
        <f>IF(AND(Main!C34="RTV", ISNUMBER(SEARCH($D$41, Main!G34))), Main!H34, 0)</f>
        <v>0</v>
      </c>
      <c r="P46" s="16">
        <f>IF(AND(Main!C34="RTV", ISNUMBER(SEARCH($E$41, Main!G34))), Main!H34, 0)</f>
        <v>0</v>
      </c>
      <c r="Q46" s="16">
        <f>IF(AND(Main!C34="RTV", ISNUMBER(SEARCH($F$41, Main!G34))), Main!H34, 0)</f>
        <v>0</v>
      </c>
      <c r="R46" s="16">
        <f>IF(AND(Main!C34="RTV", ISNUMBER(SEARCH($G$41, Main!G34))), Main!H34, 0)</f>
        <v>0</v>
      </c>
      <c r="S46" s="16">
        <f>IF(AND(Main!C34="RTV", ISNUMBER(SEARCH($H$41, Main!G34))), Main!H34, 0)</f>
        <v>0</v>
      </c>
      <c r="T46" s="16">
        <f>IF(AND(Main!C34="RTV", ISNUMBER(SEARCH($I$41, Main!G34))), Main!H34, 0)</f>
        <v>0</v>
      </c>
      <c r="U46" s="16">
        <f>IF(AND(Main!C34="RTV", ISNUMBER(SEARCH($J$41, Main!G34))), Main!H34, 0)</f>
        <v>0</v>
      </c>
    </row>
    <row r="47" spans="1:21" x14ac:dyDescent="0.3">
      <c r="A47" s="16">
        <f>IF(AND(Main!C35="RMA", ISNUMBER(SEARCH($A$41, Main!G35))), Main!H35, 0)</f>
        <v>0</v>
      </c>
      <c r="B47" s="16">
        <f>IF(AND(Main!C35="RMA", ISNUMBER(SEARCH($B$41, Main!G35))), Main!H35, 0)</f>
        <v>0</v>
      </c>
      <c r="C47" s="16">
        <f>IF(AND(Main!C35="RMA", ISNUMBER(SEARCH($C$41, Main!G35))), Main!H35, 0)</f>
        <v>0</v>
      </c>
      <c r="D47" s="16">
        <f>IF(AND(Main!C35="RMA", ISNUMBER(SEARCH($D$41, Main!G35))), Main!H35, 0)</f>
        <v>0</v>
      </c>
      <c r="E47" s="16">
        <f>IF(AND(Main!C35="RMA", ISNUMBER(SEARCH($E$41, Main!G35))), Main!H35, 0)</f>
        <v>0</v>
      </c>
      <c r="F47" s="16">
        <f>IF(AND(Main!C35="RMA", ISNUMBER(SEARCH($F$41, Main!G35))), Main!H35, 0)</f>
        <v>0</v>
      </c>
      <c r="G47" s="16">
        <f>IF(AND(Main!C35="RMA", ISNUMBER(SEARCH($G$41, Main!G35))), Main!H35, 0)</f>
        <v>0</v>
      </c>
      <c r="H47" s="16">
        <f>IF(AND(Main!C35="RMA", ISNUMBER(SEARCH($H$41, Main!G35))), Main!H35, 0)</f>
        <v>0</v>
      </c>
      <c r="I47" s="16">
        <f>IF(AND(Main!C35="RMA", ISNUMBER(SEARCH($I$41, Main!G35))), Main!H35, 0)</f>
        <v>0</v>
      </c>
      <c r="J47" s="16">
        <f>IF(AND(Main!C35="RMA", ISNUMBER(SEARCH($J$41, Main!G35))), Main!H35, 0)</f>
        <v>0</v>
      </c>
      <c r="L47" s="16">
        <f>IF(AND(Main!C35="RTV", ISNUMBER(SEARCH($A$41, Main!G35))), Main!H35, 0)</f>
        <v>0</v>
      </c>
      <c r="M47" s="16">
        <f>IF(AND(Main!C35="RTV", ISNUMBER(SEARCH($B$41, Main!G35))), Main!H35, 0)</f>
        <v>0</v>
      </c>
      <c r="N47" s="16">
        <f>IF(AND(Main!C35="RTV", ISNUMBER(SEARCH($C$41, Main!G35))), Main!H35, 0)</f>
        <v>0</v>
      </c>
      <c r="O47" s="16">
        <f>IF(AND(Main!C35="RTV", ISNUMBER(SEARCH($D$41, Main!G35))), Main!H35, 0)</f>
        <v>0</v>
      </c>
      <c r="P47" s="16">
        <f>IF(AND(Main!C35="RTV", ISNUMBER(SEARCH($E$41, Main!G35))), Main!H35, 0)</f>
        <v>0</v>
      </c>
      <c r="Q47" s="16">
        <f>IF(AND(Main!C35="RTV", ISNUMBER(SEARCH($F$41, Main!G35))), Main!H35, 0)</f>
        <v>0</v>
      </c>
      <c r="R47" s="16">
        <f>IF(AND(Main!C35="RTV", ISNUMBER(SEARCH($G$41, Main!G35))), Main!H35, 0)</f>
        <v>0</v>
      </c>
      <c r="S47" s="16">
        <f>IF(AND(Main!C35="RTV", ISNUMBER(SEARCH($H$41, Main!G35))), Main!H35, 0)</f>
        <v>0</v>
      </c>
      <c r="T47" s="16">
        <f>IF(AND(Main!C35="RTV", ISNUMBER(SEARCH($I$41, Main!G35))), Main!H35, 0)</f>
        <v>0</v>
      </c>
      <c r="U47" s="16">
        <f>IF(AND(Main!C35="RTV", ISNUMBER(SEARCH($J$41, Main!G35))), Main!H35, 0)</f>
        <v>0</v>
      </c>
    </row>
    <row r="48" spans="1:21" x14ac:dyDescent="0.3">
      <c r="A48" s="16">
        <f>IF(AND(Main!C36="RMA", ISNUMBER(SEARCH($A$41, Main!G36))), Main!H36, 0)</f>
        <v>0</v>
      </c>
      <c r="B48" s="16">
        <f>IF(AND(Main!C36="RMA", ISNUMBER(SEARCH($B$41, Main!G36))), Main!H36, 0)</f>
        <v>0</v>
      </c>
      <c r="C48" s="16">
        <f>IF(AND(Main!C36="RMA", ISNUMBER(SEARCH($C$41, Main!G36))), Main!H36, 0)</f>
        <v>0</v>
      </c>
      <c r="D48" s="16">
        <f>IF(AND(Main!C36="RMA", ISNUMBER(SEARCH($D$41, Main!G36))), Main!H36, 0)</f>
        <v>0</v>
      </c>
      <c r="E48" s="16">
        <f>IF(AND(Main!C36="RMA", ISNUMBER(SEARCH($E$41, Main!G36))), Main!H36, 0)</f>
        <v>0</v>
      </c>
      <c r="F48" s="16">
        <f>IF(AND(Main!C36="RMA", ISNUMBER(SEARCH($F$41, Main!G36))), Main!H36, 0)</f>
        <v>0</v>
      </c>
      <c r="G48" s="16">
        <f>IF(AND(Main!C36="RMA", ISNUMBER(SEARCH($G$41, Main!G36))), Main!H36, 0)</f>
        <v>0</v>
      </c>
      <c r="H48" s="16">
        <f>IF(AND(Main!C36="RMA", ISNUMBER(SEARCH($H$41, Main!G36))), Main!H36, 0)</f>
        <v>0</v>
      </c>
      <c r="I48" s="16">
        <f>IF(AND(Main!C36="RMA", ISNUMBER(SEARCH($I$41, Main!G36))), Main!H36, 0)</f>
        <v>0</v>
      </c>
      <c r="J48" s="16">
        <f>IF(AND(Main!C36="RMA", ISNUMBER(SEARCH($J$41, Main!G36))), Main!H36, 0)</f>
        <v>0</v>
      </c>
      <c r="L48" s="16">
        <f>IF(AND(Main!C36="RTV", ISNUMBER(SEARCH($A$41, Main!G36))), Main!H36, 0)</f>
        <v>0</v>
      </c>
      <c r="M48" s="16">
        <f>IF(AND(Main!C36="RTV", ISNUMBER(SEARCH($B$41, Main!G36))), Main!H36, 0)</f>
        <v>0</v>
      </c>
      <c r="N48" s="16">
        <f>IF(AND(Main!C36="RTV", ISNUMBER(SEARCH($C$41, Main!G36))), Main!H36, 0)</f>
        <v>0</v>
      </c>
      <c r="O48" s="16">
        <f>IF(AND(Main!C36="RTV", ISNUMBER(SEARCH($D$41, Main!G36))), Main!H36, 0)</f>
        <v>0</v>
      </c>
      <c r="P48" s="16">
        <f>IF(AND(Main!C36="RTV", ISNUMBER(SEARCH($E$41, Main!G36))), Main!H36, 0)</f>
        <v>0</v>
      </c>
      <c r="Q48" s="16">
        <f>IF(AND(Main!C36="RTV", ISNUMBER(SEARCH($F$41, Main!G36))), Main!H36, 0)</f>
        <v>0</v>
      </c>
      <c r="R48" s="16">
        <f>IF(AND(Main!C36="RTV", ISNUMBER(SEARCH($G$41, Main!G36))), Main!H36, 0)</f>
        <v>0</v>
      </c>
      <c r="S48" s="16">
        <f>IF(AND(Main!C36="RTV", ISNUMBER(SEARCH($H$41, Main!G36))), Main!H36, 0)</f>
        <v>0</v>
      </c>
      <c r="T48" s="16">
        <f>IF(AND(Main!C36="RTV", ISNUMBER(SEARCH($I$41, Main!G36))), Main!H36, 0)</f>
        <v>0</v>
      </c>
      <c r="U48" s="16">
        <f>IF(AND(Main!C36="RTV", ISNUMBER(SEARCH($J$41, Main!G36))), Main!H36, 0)</f>
        <v>0</v>
      </c>
    </row>
    <row r="49" spans="1:21" x14ac:dyDescent="0.3">
      <c r="A49" s="16">
        <f>IF(AND(Main!C37="RMA", ISNUMBER(SEARCH($A$41, Main!G37))), Main!H37, 0)</f>
        <v>0</v>
      </c>
      <c r="B49" s="16">
        <f>IF(AND(Main!C37="RMA", ISNUMBER(SEARCH($B$41, Main!G37))), Main!H37, 0)</f>
        <v>0</v>
      </c>
      <c r="C49" s="16">
        <f>IF(AND(Main!C37="RMA", ISNUMBER(SEARCH($C$41, Main!G37))), Main!H37, 0)</f>
        <v>0</v>
      </c>
      <c r="D49" s="16">
        <f>IF(AND(Main!C37="RMA", ISNUMBER(SEARCH($D$41, Main!G37))), Main!H37, 0)</f>
        <v>0</v>
      </c>
      <c r="E49" s="16">
        <f>IF(AND(Main!C37="RMA", ISNUMBER(SEARCH($E$41, Main!G37))), Main!H37, 0)</f>
        <v>0</v>
      </c>
      <c r="F49" s="16">
        <f>IF(AND(Main!C37="RMA", ISNUMBER(SEARCH($F$41, Main!G37))), Main!H37, 0)</f>
        <v>0</v>
      </c>
      <c r="G49" s="16">
        <f>IF(AND(Main!C37="RMA", ISNUMBER(SEARCH($G$41, Main!G37))), Main!H37, 0)</f>
        <v>0</v>
      </c>
      <c r="H49" s="16">
        <f>IF(AND(Main!C37="RMA", ISNUMBER(SEARCH($H$41, Main!G37))), Main!H37, 0)</f>
        <v>0</v>
      </c>
      <c r="I49" s="16">
        <f>IF(AND(Main!C37="RMA", ISNUMBER(SEARCH($I$41, Main!G37))), Main!H37, 0)</f>
        <v>0</v>
      </c>
      <c r="J49" s="16">
        <f>IF(AND(Main!C37="RMA", ISNUMBER(SEARCH($J$41, Main!G37))), Main!H37, 0)</f>
        <v>0</v>
      </c>
      <c r="L49" s="16">
        <f>IF(AND(Main!C37="RTV", ISNUMBER(SEARCH($A$41, Main!G37))), Main!H37, 0)</f>
        <v>0</v>
      </c>
      <c r="M49" s="16">
        <f>IF(AND(Main!C37="RTV", ISNUMBER(SEARCH($B$41, Main!G37))), Main!H37, 0)</f>
        <v>0</v>
      </c>
      <c r="N49" s="16">
        <f>IF(AND(Main!C37="RTV", ISNUMBER(SEARCH($C$41, Main!G37))), Main!H37, 0)</f>
        <v>0</v>
      </c>
      <c r="O49" s="16">
        <f>IF(AND(Main!C37="RTV", ISNUMBER(SEARCH($D$41, Main!G37))), Main!H37, 0)</f>
        <v>0</v>
      </c>
      <c r="P49" s="16">
        <f>IF(AND(Main!C37="RTV", ISNUMBER(SEARCH($E$41, Main!G37))), Main!H37, 0)</f>
        <v>0</v>
      </c>
      <c r="Q49" s="16">
        <f>IF(AND(Main!C37="RTV", ISNUMBER(SEARCH($F$41, Main!G37))), Main!H37, 0)</f>
        <v>0</v>
      </c>
      <c r="R49" s="16">
        <f>IF(AND(Main!C37="RTV", ISNUMBER(SEARCH($G$41, Main!G37))), Main!H37, 0)</f>
        <v>0</v>
      </c>
      <c r="S49" s="16">
        <f>IF(AND(Main!C37="RTV", ISNUMBER(SEARCH($H$41, Main!G37))), Main!H37, 0)</f>
        <v>0</v>
      </c>
      <c r="T49" s="16">
        <f>IF(AND(Main!C37="RTV", ISNUMBER(SEARCH($I$41, Main!G37))), Main!H37, 0)</f>
        <v>0</v>
      </c>
      <c r="U49" s="16">
        <f>IF(AND(Main!C37="RTV", ISNUMBER(SEARCH($J$41, Main!G37))), Main!H37, 0)</f>
        <v>0</v>
      </c>
    </row>
    <row r="50" spans="1:21" x14ac:dyDescent="0.3">
      <c r="A50" s="16">
        <f>IF(AND(Main!C38="RMA", ISNUMBER(SEARCH($A$41, Main!G38))), Main!H38, 0)</f>
        <v>0</v>
      </c>
      <c r="B50" s="16">
        <f>IF(AND(Main!C38="RMA", ISNUMBER(SEARCH($B$41, Main!G38))), Main!H38, 0)</f>
        <v>0</v>
      </c>
      <c r="C50" s="16">
        <f>IF(AND(Main!C38="RMA", ISNUMBER(SEARCH($C$41, Main!G38))), Main!H38, 0)</f>
        <v>0</v>
      </c>
      <c r="D50" s="16">
        <f>IF(AND(Main!C38="RMA", ISNUMBER(SEARCH($D$41, Main!G38))), Main!H38, 0)</f>
        <v>0</v>
      </c>
      <c r="E50" s="16">
        <f>IF(AND(Main!C38="RMA", ISNUMBER(SEARCH($E$41, Main!G38))), Main!H38, 0)</f>
        <v>0</v>
      </c>
      <c r="F50" s="16">
        <f>IF(AND(Main!C38="RMA", ISNUMBER(SEARCH($F$41, Main!G38))), Main!H38, 0)</f>
        <v>0</v>
      </c>
      <c r="G50" s="16">
        <f>IF(AND(Main!C38="RMA", ISNUMBER(SEARCH($G$41, Main!G38))), Main!H38, 0)</f>
        <v>0</v>
      </c>
      <c r="H50" s="16">
        <f>IF(AND(Main!C38="RMA", ISNUMBER(SEARCH($H$41, Main!G38))), Main!H38, 0)</f>
        <v>0</v>
      </c>
      <c r="I50" s="16">
        <f>IF(AND(Main!C38="RMA", ISNUMBER(SEARCH($I$41, Main!G38))), Main!H38, 0)</f>
        <v>0</v>
      </c>
      <c r="J50" s="16">
        <f>IF(AND(Main!C38="RMA", ISNUMBER(SEARCH($J$41, Main!G38))), Main!H38, 0)</f>
        <v>0</v>
      </c>
      <c r="L50" s="16">
        <f>IF(AND(Main!C38="RTV", ISNUMBER(SEARCH($A$41, Main!G38))), Main!H38, 0)</f>
        <v>0</v>
      </c>
      <c r="M50" s="16">
        <f>IF(AND(Main!C38="RTV", ISNUMBER(SEARCH($B$41, Main!G38))), Main!H38, 0)</f>
        <v>0</v>
      </c>
      <c r="N50" s="16">
        <f>IF(AND(Main!C38="RTV", ISNUMBER(SEARCH($C$41, Main!G38))), Main!H38, 0)</f>
        <v>0</v>
      </c>
      <c r="O50" s="16">
        <f>IF(AND(Main!C38="RTV", ISNUMBER(SEARCH($D$41, Main!G38))), Main!H38, 0)</f>
        <v>0</v>
      </c>
      <c r="P50" s="16">
        <f>IF(AND(Main!C38="RTV", ISNUMBER(SEARCH($E$41, Main!G38))), Main!H38, 0)</f>
        <v>0</v>
      </c>
      <c r="Q50" s="16">
        <f>IF(AND(Main!C38="RTV", ISNUMBER(SEARCH($F$41, Main!G38))), Main!H38, 0)</f>
        <v>0</v>
      </c>
      <c r="R50" s="16">
        <f>IF(AND(Main!C38="RTV", ISNUMBER(SEARCH($G$41, Main!G38))), Main!H38, 0)</f>
        <v>0</v>
      </c>
      <c r="S50" s="16">
        <f>IF(AND(Main!C38="RTV", ISNUMBER(SEARCH($H$41, Main!G38))), Main!H38, 0)</f>
        <v>0</v>
      </c>
      <c r="T50" s="16">
        <f>IF(AND(Main!C38="RTV", ISNUMBER(SEARCH($I$41, Main!G38))), Main!H38, 0)</f>
        <v>0</v>
      </c>
      <c r="U50" s="16">
        <f>IF(AND(Main!C38="RTV", ISNUMBER(SEARCH($J$41, Main!G38))), Main!H38, 0)</f>
        <v>0</v>
      </c>
    </row>
    <row r="51" spans="1:21" x14ac:dyDescent="0.3">
      <c r="A51" s="16">
        <f>IF(AND(Main!C39="RMA", ISNUMBER(SEARCH($A$41, Main!G39))), Main!H39, 0)</f>
        <v>0</v>
      </c>
      <c r="B51" s="16">
        <f>IF(AND(Main!C39="RMA", ISNUMBER(SEARCH($B$41, Main!G39))), Main!H39, 0)</f>
        <v>0</v>
      </c>
      <c r="C51" s="16">
        <f>IF(AND(Main!C39="RMA", ISNUMBER(SEARCH($C$41, Main!G39))), Main!H39, 0)</f>
        <v>0</v>
      </c>
      <c r="D51" s="16">
        <f>IF(AND(Main!C39="RMA", ISNUMBER(SEARCH($D$41, Main!G39))), Main!H39, 0)</f>
        <v>0</v>
      </c>
      <c r="E51" s="16">
        <f>IF(AND(Main!C39="RMA", ISNUMBER(SEARCH($E$41, Main!G39))), Main!H39, 0)</f>
        <v>0</v>
      </c>
      <c r="F51" s="16">
        <f>IF(AND(Main!C39="RMA", ISNUMBER(SEARCH($F$41, Main!G39))), Main!H39, 0)</f>
        <v>0</v>
      </c>
      <c r="G51" s="16">
        <f>IF(AND(Main!C39="RMA", ISNUMBER(SEARCH($G$41, Main!G39))), Main!H39, 0)</f>
        <v>0</v>
      </c>
      <c r="H51" s="16">
        <f>IF(AND(Main!C39="RMA", ISNUMBER(SEARCH($H$41, Main!G39))), Main!H39, 0)</f>
        <v>0</v>
      </c>
      <c r="I51" s="16">
        <f>IF(AND(Main!C39="RMA", ISNUMBER(SEARCH($I$41, Main!G39))), Main!H39, 0)</f>
        <v>0</v>
      </c>
      <c r="J51" s="16">
        <f>IF(AND(Main!C39="RMA", ISNUMBER(SEARCH($J$41, Main!G39))), Main!H39, 0)</f>
        <v>0</v>
      </c>
      <c r="L51" s="16">
        <f>IF(AND(Main!C39="RTV", ISNUMBER(SEARCH($A$41, Main!G39))), Main!H39, 0)</f>
        <v>0</v>
      </c>
      <c r="M51" s="16">
        <f>IF(AND(Main!C39="RTV", ISNUMBER(SEARCH($B$41, Main!G39))), Main!H39, 0)</f>
        <v>0</v>
      </c>
      <c r="N51" s="16">
        <f>IF(AND(Main!C39="RTV", ISNUMBER(SEARCH($C$41, Main!G39))), Main!H39, 0)</f>
        <v>0</v>
      </c>
      <c r="O51" s="16">
        <f>IF(AND(Main!C39="RTV", ISNUMBER(SEARCH($D$41, Main!G39))), Main!H39, 0)</f>
        <v>0</v>
      </c>
      <c r="P51" s="16">
        <f>IF(AND(Main!C39="RTV", ISNUMBER(SEARCH($E$41, Main!G39))), Main!H39, 0)</f>
        <v>0</v>
      </c>
      <c r="Q51" s="16">
        <f>IF(AND(Main!C39="RTV", ISNUMBER(SEARCH($F$41, Main!G39))), Main!H39, 0)</f>
        <v>0</v>
      </c>
      <c r="R51" s="16">
        <f>IF(AND(Main!C39="RTV", ISNUMBER(SEARCH($G$41, Main!G39))), Main!H39, 0)</f>
        <v>0</v>
      </c>
      <c r="S51" s="16">
        <f>IF(AND(Main!C39="RTV", ISNUMBER(SEARCH($H$41, Main!G39))), Main!H39, 0)</f>
        <v>0</v>
      </c>
      <c r="T51" s="16">
        <f>IF(AND(Main!C39="RTV", ISNUMBER(SEARCH($I$41, Main!G39))), Main!H39, 0)</f>
        <v>0</v>
      </c>
      <c r="U51" s="16">
        <f>IF(AND(Main!C39="RTV", ISNUMBER(SEARCH($J$41, Main!G39))), Main!H39, 0)</f>
        <v>0</v>
      </c>
    </row>
    <row r="52" spans="1:21" x14ac:dyDescent="0.3">
      <c r="A52" s="16">
        <f>IF(AND(Main!C40="RMA", ISNUMBER(SEARCH($A$41, Main!G40))), Main!H40, 0)</f>
        <v>0</v>
      </c>
      <c r="B52" s="16">
        <f>IF(AND(Main!C40="RMA", ISNUMBER(SEARCH($B$41, Main!G40))), Main!H40, 0)</f>
        <v>0</v>
      </c>
      <c r="C52" s="16">
        <f>IF(AND(Main!C40="RMA", ISNUMBER(SEARCH($C$41, Main!G40))), Main!H40, 0)</f>
        <v>0</v>
      </c>
      <c r="D52" s="16">
        <f>IF(AND(Main!C40="RMA", ISNUMBER(SEARCH($D$41, Main!G40))), Main!H40, 0)</f>
        <v>0</v>
      </c>
      <c r="E52" s="16">
        <f>IF(AND(Main!C40="RMA", ISNUMBER(SEARCH($E$41, Main!G40))), Main!H40, 0)</f>
        <v>0</v>
      </c>
      <c r="F52" s="16">
        <f>IF(AND(Main!C40="RMA", ISNUMBER(SEARCH($F$41, Main!G40))), Main!H40, 0)</f>
        <v>0</v>
      </c>
      <c r="G52" s="16">
        <f>IF(AND(Main!C40="RMA", ISNUMBER(SEARCH($G$41, Main!G40))), Main!H40, 0)</f>
        <v>0</v>
      </c>
      <c r="H52" s="16">
        <f>IF(AND(Main!C40="RMA", ISNUMBER(SEARCH($H$41, Main!G40))), Main!H40, 0)</f>
        <v>0</v>
      </c>
      <c r="I52" s="16">
        <f>IF(AND(Main!C40="RMA", ISNUMBER(SEARCH($I$41, Main!G40))), Main!H40, 0)</f>
        <v>0</v>
      </c>
      <c r="J52" s="16">
        <f>IF(AND(Main!C40="RMA", ISNUMBER(SEARCH($J$41, Main!G40))), Main!H40, 0)</f>
        <v>0</v>
      </c>
      <c r="L52" s="16">
        <f>IF(AND(Main!C40="RTV", ISNUMBER(SEARCH($A$41, Main!G40))), Main!H40, 0)</f>
        <v>0</v>
      </c>
      <c r="M52" s="16">
        <f>IF(AND(Main!C40="RTV", ISNUMBER(SEARCH($B$41, Main!G40))), Main!H40, 0)</f>
        <v>0</v>
      </c>
      <c r="N52" s="16">
        <f>IF(AND(Main!C40="RTV", ISNUMBER(SEARCH($C$41, Main!G40))), Main!H40, 0)</f>
        <v>0</v>
      </c>
      <c r="O52" s="16">
        <f>IF(AND(Main!C40="RTV", ISNUMBER(SEARCH($D$41, Main!G40))), Main!H40, 0)</f>
        <v>0</v>
      </c>
      <c r="P52" s="16">
        <f>IF(AND(Main!C40="RTV", ISNUMBER(SEARCH($E$41, Main!G40))), Main!H40, 0)</f>
        <v>0</v>
      </c>
      <c r="Q52" s="16">
        <f>IF(AND(Main!C40="RTV", ISNUMBER(SEARCH($F$41, Main!G40))), Main!H40, 0)</f>
        <v>0</v>
      </c>
      <c r="R52" s="16">
        <f>IF(AND(Main!C40="RTV", ISNUMBER(SEARCH($G$41, Main!G40))), Main!H40, 0)</f>
        <v>0</v>
      </c>
      <c r="S52" s="16">
        <f>IF(AND(Main!C40="RTV", ISNUMBER(SEARCH($H$41, Main!G40))), Main!H40, 0)</f>
        <v>0</v>
      </c>
      <c r="T52" s="16">
        <f>IF(AND(Main!C40="RTV", ISNUMBER(SEARCH($I$41, Main!G40))), Main!H40, 0)</f>
        <v>0</v>
      </c>
      <c r="U52" s="16">
        <f>IF(AND(Main!C40="RTV", ISNUMBER(SEARCH($J$41, Main!G40))), Main!H40, 0)</f>
        <v>0</v>
      </c>
    </row>
    <row r="53" spans="1:21" x14ac:dyDescent="0.3">
      <c r="A53" s="16">
        <f>IF(AND(Main!C41="RMA", ISNUMBER(SEARCH($A$41, Main!G41))), Main!H41, 0)</f>
        <v>0</v>
      </c>
      <c r="B53" s="16">
        <f>IF(AND(Main!C41="RMA", ISNUMBER(SEARCH($B$41, Main!G41))), Main!H41, 0)</f>
        <v>0</v>
      </c>
      <c r="C53" s="16">
        <f>IF(AND(Main!C41="RMA", ISNUMBER(SEARCH($C$41, Main!G41))), Main!H41, 0)</f>
        <v>0</v>
      </c>
      <c r="D53" s="16">
        <f>IF(AND(Main!C41="RMA", ISNUMBER(SEARCH($D$41, Main!G41))), Main!H41, 0)</f>
        <v>0</v>
      </c>
      <c r="E53" s="16">
        <f>IF(AND(Main!C41="RMA", ISNUMBER(SEARCH($E$41, Main!G41))), Main!H41, 0)</f>
        <v>0</v>
      </c>
      <c r="F53" s="16">
        <f>IF(AND(Main!C41="RMA", ISNUMBER(SEARCH($F$41, Main!G41))), Main!H41, 0)</f>
        <v>0</v>
      </c>
      <c r="G53" s="16">
        <f>IF(AND(Main!C41="RMA", ISNUMBER(SEARCH($G$41, Main!G41))), Main!H41, 0)</f>
        <v>0</v>
      </c>
      <c r="H53" s="16">
        <f>IF(AND(Main!C41="RMA", ISNUMBER(SEARCH($H$41, Main!G41))), Main!H41, 0)</f>
        <v>0</v>
      </c>
      <c r="I53" s="16">
        <f>IF(AND(Main!C41="RMA", ISNUMBER(SEARCH($I$41, Main!G41))), Main!H41, 0)</f>
        <v>0</v>
      </c>
      <c r="J53" s="16">
        <f>IF(AND(Main!C41="RMA", ISNUMBER(SEARCH($J$41, Main!G41))), Main!H41, 0)</f>
        <v>0</v>
      </c>
      <c r="L53" s="16">
        <f>IF(AND(Main!C41="RTV", ISNUMBER(SEARCH($A$41, Main!G41))), Main!H41, 0)</f>
        <v>0</v>
      </c>
      <c r="M53" s="16">
        <f>IF(AND(Main!C41="RTV", ISNUMBER(SEARCH($B$41, Main!G41))), Main!H41, 0)</f>
        <v>0</v>
      </c>
      <c r="N53" s="16">
        <f>IF(AND(Main!C41="RTV", ISNUMBER(SEARCH($C$41, Main!G41))), Main!H41, 0)</f>
        <v>0</v>
      </c>
      <c r="O53" s="16">
        <f>IF(AND(Main!C41="RTV", ISNUMBER(SEARCH($D$41, Main!G41))), Main!H41, 0)</f>
        <v>0</v>
      </c>
      <c r="P53" s="16">
        <f>IF(AND(Main!C41="RTV", ISNUMBER(SEARCH($E$41, Main!G41))), Main!H41, 0)</f>
        <v>0</v>
      </c>
      <c r="Q53" s="16">
        <f>IF(AND(Main!C41="RTV", ISNUMBER(SEARCH($F$41, Main!G41))), Main!H41, 0)</f>
        <v>0</v>
      </c>
      <c r="R53" s="16">
        <f>IF(AND(Main!C41="RTV", ISNUMBER(SEARCH($G$41, Main!G41))), Main!H41, 0)</f>
        <v>0</v>
      </c>
      <c r="S53" s="16">
        <f>IF(AND(Main!C41="RTV", ISNUMBER(SEARCH($H$41, Main!G41))), Main!H41, 0)</f>
        <v>0</v>
      </c>
      <c r="T53" s="16">
        <f>IF(AND(Main!C41="RTV", ISNUMBER(SEARCH($I$41, Main!G41))), Main!H41, 0)</f>
        <v>0</v>
      </c>
      <c r="U53" s="16">
        <f>IF(AND(Main!C41="RTV", ISNUMBER(SEARCH($J$41, Main!G41))), Main!H41, 0)</f>
        <v>0</v>
      </c>
    </row>
    <row r="54" spans="1:21" x14ac:dyDescent="0.3">
      <c r="A54" s="16">
        <f>IF(AND(Main!C42="RMA", ISNUMBER(SEARCH($A$41, Main!G42))), Main!H42, 0)</f>
        <v>0</v>
      </c>
      <c r="B54" s="16">
        <f>IF(AND(Main!C42="RMA", ISNUMBER(SEARCH($B$41, Main!G42))), Main!H42, 0)</f>
        <v>0</v>
      </c>
      <c r="C54" s="16">
        <f>IF(AND(Main!C42="RMA", ISNUMBER(SEARCH($C$41, Main!G42))), Main!H42, 0)</f>
        <v>0</v>
      </c>
      <c r="D54" s="16">
        <f>IF(AND(Main!C42="RMA", ISNUMBER(SEARCH($D$41, Main!G42))), Main!H42, 0)</f>
        <v>0</v>
      </c>
      <c r="E54" s="16">
        <f>IF(AND(Main!C42="RMA", ISNUMBER(SEARCH($E$41, Main!G42))), Main!H42, 0)</f>
        <v>0</v>
      </c>
      <c r="F54" s="16">
        <f>IF(AND(Main!C42="RMA", ISNUMBER(SEARCH($F$41, Main!G42))), Main!H42, 0)</f>
        <v>0</v>
      </c>
      <c r="G54" s="16">
        <f>IF(AND(Main!C42="RMA", ISNUMBER(SEARCH($G$41, Main!G42))), Main!H42, 0)</f>
        <v>0</v>
      </c>
      <c r="H54" s="16">
        <f>IF(AND(Main!C42="RMA", ISNUMBER(SEARCH($H$41, Main!G42))), Main!H42, 0)</f>
        <v>0</v>
      </c>
      <c r="I54" s="16">
        <f>IF(AND(Main!C42="RMA", ISNUMBER(SEARCH($I$41, Main!G42))), Main!H42, 0)</f>
        <v>0</v>
      </c>
      <c r="J54" s="16">
        <f>IF(AND(Main!C42="RMA", ISNUMBER(SEARCH($J$41, Main!G42))), Main!H42, 0)</f>
        <v>0</v>
      </c>
      <c r="L54" s="16">
        <f>IF(AND(Main!C42="RTV", ISNUMBER(SEARCH($A$41, Main!G42))), Main!H42, 0)</f>
        <v>0</v>
      </c>
      <c r="M54" s="16">
        <f>IF(AND(Main!C42="RTV", ISNUMBER(SEARCH($B$41, Main!G42))), Main!H42, 0)</f>
        <v>0</v>
      </c>
      <c r="N54" s="16">
        <f>IF(AND(Main!C42="RTV", ISNUMBER(SEARCH($C$41, Main!G42))), Main!H42, 0)</f>
        <v>0</v>
      </c>
      <c r="O54" s="16">
        <f>IF(AND(Main!C42="RTV", ISNUMBER(SEARCH($D$41, Main!G42))), Main!H42, 0)</f>
        <v>0</v>
      </c>
      <c r="P54" s="16">
        <f>IF(AND(Main!C42="RTV", ISNUMBER(SEARCH($E$41, Main!G42))), Main!H42, 0)</f>
        <v>0</v>
      </c>
      <c r="Q54" s="16">
        <f>IF(AND(Main!C42="RTV", ISNUMBER(SEARCH($F$41, Main!G42))), Main!H42, 0)</f>
        <v>0</v>
      </c>
      <c r="R54" s="16">
        <f>IF(AND(Main!C42="RTV", ISNUMBER(SEARCH($G$41, Main!G42))), Main!H42, 0)</f>
        <v>0</v>
      </c>
      <c r="S54" s="16">
        <f>IF(AND(Main!C42="RTV", ISNUMBER(SEARCH($H$41, Main!G42))), Main!H42, 0)</f>
        <v>0</v>
      </c>
      <c r="T54" s="16">
        <f>IF(AND(Main!C42="RTV", ISNUMBER(SEARCH($I$41, Main!G42))), Main!H42, 0)</f>
        <v>0</v>
      </c>
      <c r="U54" s="16">
        <f>IF(AND(Main!C42="RTV", ISNUMBER(SEARCH($J$41, Main!G42))), Main!H42, 0)</f>
        <v>0</v>
      </c>
    </row>
    <row r="55" spans="1:21" x14ac:dyDescent="0.3">
      <c r="A55" s="16">
        <f>IF(AND(Main!C43="RMA", ISNUMBER(SEARCH($A$41, Main!G43))), Main!H43, 0)</f>
        <v>0</v>
      </c>
      <c r="B55" s="16">
        <f>IF(AND(Main!C43="RMA", ISNUMBER(SEARCH($B$41, Main!G43))), Main!H43, 0)</f>
        <v>0</v>
      </c>
      <c r="C55" s="16">
        <f>IF(AND(Main!C43="RMA", ISNUMBER(SEARCH($C$41, Main!G43))), Main!H43, 0)</f>
        <v>0</v>
      </c>
      <c r="D55" s="16">
        <f>IF(AND(Main!C43="RMA", ISNUMBER(SEARCH($D$41, Main!G43))), Main!H43, 0)</f>
        <v>0</v>
      </c>
      <c r="E55" s="16">
        <f>IF(AND(Main!C43="RMA", ISNUMBER(SEARCH($E$41, Main!G43))), Main!H43, 0)</f>
        <v>0</v>
      </c>
      <c r="F55" s="16">
        <f>IF(AND(Main!C43="RMA", ISNUMBER(SEARCH($F$41, Main!G43))), Main!H43, 0)</f>
        <v>0</v>
      </c>
      <c r="G55" s="16">
        <f>IF(AND(Main!C43="RMA", ISNUMBER(SEARCH($G$41, Main!G43))), Main!H43, 0)</f>
        <v>0</v>
      </c>
      <c r="H55" s="16">
        <f>IF(AND(Main!C43="RMA", ISNUMBER(SEARCH($H$41, Main!G43))), Main!H43, 0)</f>
        <v>0</v>
      </c>
      <c r="I55" s="16">
        <f>IF(AND(Main!C43="RMA", ISNUMBER(SEARCH($I$41, Main!G43))), Main!H43, 0)</f>
        <v>0</v>
      </c>
      <c r="J55" s="16">
        <f>IF(AND(Main!C43="RMA", ISNUMBER(SEARCH($J$41, Main!G43))), Main!H43, 0)</f>
        <v>0</v>
      </c>
      <c r="L55" s="16">
        <f>IF(AND(Main!C43="RTV", ISNUMBER(SEARCH($A$41, Main!G43))), Main!H43, 0)</f>
        <v>0</v>
      </c>
      <c r="M55" s="16">
        <f>IF(AND(Main!C43="RTV", ISNUMBER(SEARCH($B$41, Main!G43))), Main!H43, 0)</f>
        <v>0</v>
      </c>
      <c r="N55" s="16">
        <f>IF(AND(Main!C43="RTV", ISNUMBER(SEARCH($C$41, Main!G43))), Main!H43, 0)</f>
        <v>0</v>
      </c>
      <c r="O55" s="16">
        <f>IF(AND(Main!C43="RTV", ISNUMBER(SEARCH($D$41, Main!G43))), Main!H43, 0)</f>
        <v>0</v>
      </c>
      <c r="P55" s="16">
        <f>IF(AND(Main!C43="RTV", ISNUMBER(SEARCH($E$41, Main!G43))), Main!H43, 0)</f>
        <v>0</v>
      </c>
      <c r="Q55" s="16">
        <f>IF(AND(Main!C43="RTV", ISNUMBER(SEARCH($F$41, Main!G43))), Main!H43, 0)</f>
        <v>0</v>
      </c>
      <c r="R55" s="16">
        <f>IF(AND(Main!C43="RTV", ISNUMBER(SEARCH($G$41, Main!G43))), Main!H43, 0)</f>
        <v>0</v>
      </c>
      <c r="S55" s="16">
        <f>IF(AND(Main!C43="RTV", ISNUMBER(SEARCH($H$41, Main!G43))), Main!H43, 0)</f>
        <v>0</v>
      </c>
      <c r="T55" s="16">
        <f>IF(AND(Main!C43="RTV", ISNUMBER(SEARCH($I$41, Main!G43))), Main!H43, 0)</f>
        <v>0</v>
      </c>
      <c r="U55" s="16">
        <f>IF(AND(Main!C43="RTV", ISNUMBER(SEARCH($J$41, Main!G43))), Main!H43, 0)</f>
        <v>0</v>
      </c>
    </row>
    <row r="56" spans="1:21" x14ac:dyDescent="0.3">
      <c r="A56" s="16">
        <f>IF(AND(Main!C44="RMA", ISNUMBER(SEARCH($A$41, Main!G44))), Main!H44, 0)</f>
        <v>0</v>
      </c>
      <c r="B56" s="16">
        <f>IF(AND(Main!C44="RMA", ISNUMBER(SEARCH($B$41, Main!G44))), Main!H44, 0)</f>
        <v>0</v>
      </c>
      <c r="C56" s="16">
        <f>IF(AND(Main!C44="RMA", ISNUMBER(SEARCH($C$41, Main!G44))), Main!H44, 0)</f>
        <v>0</v>
      </c>
      <c r="D56" s="16">
        <f>IF(AND(Main!C44="RMA", ISNUMBER(SEARCH($D$41, Main!G44))), Main!H44, 0)</f>
        <v>0</v>
      </c>
      <c r="E56" s="16">
        <f>IF(AND(Main!C44="RMA", ISNUMBER(SEARCH($E$41, Main!G44))), Main!H44, 0)</f>
        <v>0</v>
      </c>
      <c r="F56" s="16">
        <f>IF(AND(Main!C44="RMA", ISNUMBER(SEARCH($F$41, Main!G44))), Main!H44, 0)</f>
        <v>0</v>
      </c>
      <c r="G56" s="16">
        <f>IF(AND(Main!C44="RMA", ISNUMBER(SEARCH($G$41, Main!G44))), Main!H44, 0)</f>
        <v>0</v>
      </c>
      <c r="H56" s="16">
        <f>IF(AND(Main!C44="RMA", ISNUMBER(SEARCH($H$41, Main!G44))), Main!H44, 0)</f>
        <v>0</v>
      </c>
      <c r="I56" s="16">
        <f>IF(AND(Main!C44="RMA", ISNUMBER(SEARCH($I$41, Main!G44))), Main!H44, 0)</f>
        <v>0</v>
      </c>
      <c r="J56" s="16">
        <f>IF(AND(Main!C44="RMA", ISNUMBER(SEARCH($J$41, Main!G44))), Main!H44, 0)</f>
        <v>0</v>
      </c>
      <c r="L56" s="16">
        <f>IF(AND(Main!C44="RTV", ISNUMBER(SEARCH($A$41, Main!G44))), Main!H44, 0)</f>
        <v>0</v>
      </c>
      <c r="M56" s="16">
        <f>IF(AND(Main!C44="RTV", ISNUMBER(SEARCH($B$41, Main!G44))), Main!H44, 0)</f>
        <v>0</v>
      </c>
      <c r="N56" s="16">
        <f>IF(AND(Main!C44="RTV", ISNUMBER(SEARCH($C$41, Main!G44))), Main!H44, 0)</f>
        <v>0</v>
      </c>
      <c r="O56" s="16">
        <f>IF(AND(Main!C44="RTV", ISNUMBER(SEARCH($D$41, Main!G44))), Main!H44, 0)</f>
        <v>0</v>
      </c>
      <c r="P56" s="16">
        <f>IF(AND(Main!C44="RTV", ISNUMBER(SEARCH($E$41, Main!G44))), Main!H44, 0)</f>
        <v>0</v>
      </c>
      <c r="Q56" s="16">
        <f>IF(AND(Main!C44="RTV", ISNUMBER(SEARCH($F$41, Main!G44))), Main!H44, 0)</f>
        <v>0</v>
      </c>
      <c r="R56" s="16">
        <f>IF(AND(Main!C44="RTV", ISNUMBER(SEARCH($G$41, Main!G44))), Main!H44, 0)</f>
        <v>0</v>
      </c>
      <c r="S56" s="16">
        <f>IF(AND(Main!C44="RTV", ISNUMBER(SEARCH($H$41, Main!G44))), Main!H44, 0)</f>
        <v>0</v>
      </c>
      <c r="T56" s="16">
        <f>IF(AND(Main!C44="RTV", ISNUMBER(SEARCH($I$41, Main!G44))), Main!H44, 0)</f>
        <v>0</v>
      </c>
      <c r="U56" s="16">
        <f>IF(AND(Main!C44="RTV", ISNUMBER(SEARCH($J$41, Main!G44))), Main!H44, 0)</f>
        <v>0</v>
      </c>
    </row>
    <row r="57" spans="1:21" x14ac:dyDescent="0.3">
      <c r="A57" s="16">
        <f>IF(AND(Main!C45="RMA", ISNUMBER(SEARCH($A$41, Main!G45))), Main!H45, 0)</f>
        <v>0</v>
      </c>
      <c r="B57" s="16">
        <f>IF(AND(Main!C45="RMA", ISNUMBER(SEARCH($B$41, Main!G45))), Main!H45, 0)</f>
        <v>0</v>
      </c>
      <c r="C57" s="16">
        <f>IF(AND(Main!C45="RMA", ISNUMBER(SEARCH($C$41, Main!G45))), Main!H45, 0)</f>
        <v>0</v>
      </c>
      <c r="D57" s="16">
        <f>IF(AND(Main!C45="RMA", ISNUMBER(SEARCH($D$41, Main!G45))), Main!H45, 0)</f>
        <v>0</v>
      </c>
      <c r="E57" s="16">
        <f>IF(AND(Main!C45="RMA", ISNUMBER(SEARCH($E$41, Main!G45))), Main!H45, 0)</f>
        <v>0</v>
      </c>
      <c r="F57" s="16">
        <f>IF(AND(Main!C45="RMA", ISNUMBER(SEARCH($F$41, Main!G45))), Main!H45, 0)</f>
        <v>0</v>
      </c>
      <c r="G57" s="16">
        <f>IF(AND(Main!C45="RMA", ISNUMBER(SEARCH($G$41, Main!G45))), Main!H45, 0)</f>
        <v>0</v>
      </c>
      <c r="H57" s="16">
        <f>IF(AND(Main!C45="RMA", ISNUMBER(SEARCH($H$41, Main!G45))), Main!H45, 0)</f>
        <v>0</v>
      </c>
      <c r="I57" s="16">
        <f>IF(AND(Main!C45="RMA", ISNUMBER(SEARCH($I$41, Main!G45))), Main!H45, 0)</f>
        <v>0</v>
      </c>
      <c r="J57" s="16">
        <f>IF(AND(Main!C45="RMA", ISNUMBER(SEARCH($J$41, Main!G45))), Main!H45, 0)</f>
        <v>0</v>
      </c>
      <c r="L57" s="16">
        <f>IF(AND(Main!C45="RTV", ISNUMBER(SEARCH($A$41, Main!G45))), Main!H45, 0)</f>
        <v>0</v>
      </c>
      <c r="M57" s="16">
        <f>IF(AND(Main!C45="RTV", ISNUMBER(SEARCH($B$41, Main!G45))), Main!H45, 0)</f>
        <v>0</v>
      </c>
      <c r="N57" s="16">
        <f>IF(AND(Main!C45="RTV", ISNUMBER(SEARCH($C$41, Main!G45))), Main!H45, 0)</f>
        <v>0</v>
      </c>
      <c r="O57" s="16">
        <f>IF(AND(Main!C45="RTV", ISNUMBER(SEARCH($D$41, Main!G45))), Main!H45, 0)</f>
        <v>0</v>
      </c>
      <c r="P57" s="16">
        <f>IF(AND(Main!C45="RTV", ISNUMBER(SEARCH($E$41, Main!G45))), Main!H45, 0)</f>
        <v>0</v>
      </c>
      <c r="Q57" s="16">
        <f>IF(AND(Main!C45="RTV", ISNUMBER(SEARCH($F$41, Main!G45))), Main!H45, 0)</f>
        <v>0</v>
      </c>
      <c r="R57" s="16">
        <f>IF(AND(Main!C45="RTV", ISNUMBER(SEARCH($G$41, Main!G45))), Main!H45, 0)</f>
        <v>0</v>
      </c>
      <c r="S57" s="16">
        <f>IF(AND(Main!C45="RTV", ISNUMBER(SEARCH($H$41, Main!G45))), Main!H45, 0)</f>
        <v>0</v>
      </c>
      <c r="T57" s="16">
        <f>IF(AND(Main!C45="RTV", ISNUMBER(SEARCH($I$41, Main!G45))), Main!H45, 0)</f>
        <v>0</v>
      </c>
      <c r="U57" s="16">
        <f>IF(AND(Main!C45="RTV", ISNUMBER(SEARCH($J$41, Main!G45))), Main!H45, 0)</f>
        <v>0</v>
      </c>
    </row>
    <row r="58" spans="1:21" x14ac:dyDescent="0.3">
      <c r="A58" s="16">
        <f>IF(AND(Main!C46="RMA", ISNUMBER(SEARCH($A$41, Main!G46))), Main!H46, 0)</f>
        <v>0</v>
      </c>
      <c r="B58" s="16">
        <f>IF(AND(Main!C46="RMA", ISNUMBER(SEARCH($B$41, Main!G46))), Main!H46, 0)</f>
        <v>0</v>
      </c>
      <c r="C58" s="16">
        <f>IF(AND(Main!C46="RMA", ISNUMBER(SEARCH($C$41, Main!G46))), Main!H46, 0)</f>
        <v>0</v>
      </c>
      <c r="D58" s="16">
        <f>IF(AND(Main!C46="RMA", ISNUMBER(SEARCH($D$41, Main!G46))), Main!H46, 0)</f>
        <v>0</v>
      </c>
      <c r="E58" s="16">
        <f>IF(AND(Main!C46="RMA", ISNUMBER(SEARCH($E$41, Main!G46))), Main!H46, 0)</f>
        <v>0</v>
      </c>
      <c r="F58" s="16">
        <f>IF(AND(Main!C46="RMA", ISNUMBER(SEARCH($F$41, Main!G46))), Main!H46, 0)</f>
        <v>0</v>
      </c>
      <c r="G58" s="16">
        <f>IF(AND(Main!C46="RMA", ISNUMBER(SEARCH($G$41, Main!G46))), Main!H46, 0)</f>
        <v>0</v>
      </c>
      <c r="H58" s="16">
        <f>IF(AND(Main!C46="RMA", ISNUMBER(SEARCH($H$41, Main!G46))), Main!H46, 0)</f>
        <v>0</v>
      </c>
      <c r="I58" s="16">
        <f>IF(AND(Main!C46="RMA", ISNUMBER(SEARCH($I$41, Main!G46))), Main!H46, 0)</f>
        <v>0</v>
      </c>
      <c r="J58" s="16">
        <f>IF(AND(Main!C46="RMA", ISNUMBER(SEARCH($J$41, Main!G46))), Main!H46, 0)</f>
        <v>0</v>
      </c>
      <c r="L58" s="16">
        <f>IF(AND(Main!C46="RTV", ISNUMBER(SEARCH($A$41, Main!G46))), Main!H46, 0)</f>
        <v>0</v>
      </c>
      <c r="M58" s="16">
        <f>IF(AND(Main!C46="RTV", ISNUMBER(SEARCH($B$41, Main!G46))), Main!H46, 0)</f>
        <v>0</v>
      </c>
      <c r="N58" s="16">
        <f>IF(AND(Main!C46="RTV", ISNUMBER(SEARCH($C$41, Main!G46))), Main!H46, 0)</f>
        <v>0</v>
      </c>
      <c r="O58" s="16">
        <f>IF(AND(Main!C46="RTV", ISNUMBER(SEARCH($D$41, Main!G46))), Main!H46, 0)</f>
        <v>0</v>
      </c>
      <c r="P58" s="16">
        <f>IF(AND(Main!C46="RTV", ISNUMBER(SEARCH($E$41, Main!G46))), Main!H46, 0)</f>
        <v>0</v>
      </c>
      <c r="Q58" s="16">
        <f>IF(AND(Main!C46="RTV", ISNUMBER(SEARCH($F$41, Main!G46))), Main!H46, 0)</f>
        <v>0</v>
      </c>
      <c r="R58" s="16">
        <f>IF(AND(Main!C46="RTV", ISNUMBER(SEARCH($G$41, Main!G46))), Main!H46, 0)</f>
        <v>0</v>
      </c>
      <c r="S58" s="16">
        <f>IF(AND(Main!C46="RTV", ISNUMBER(SEARCH($H$41, Main!G46))), Main!H46, 0)</f>
        <v>0</v>
      </c>
      <c r="T58" s="16">
        <f>IF(AND(Main!C46="RTV", ISNUMBER(SEARCH($I$41, Main!G46))), Main!H46, 0)</f>
        <v>0</v>
      </c>
      <c r="U58" s="16">
        <f>IF(AND(Main!C46="RTV", ISNUMBER(SEARCH($J$41, Main!G46))), Main!H46, 0)</f>
        <v>0</v>
      </c>
    </row>
    <row r="59" spans="1:21" x14ac:dyDescent="0.3">
      <c r="A59" s="16">
        <f>IF(AND(Main!C47="RMA", ISNUMBER(SEARCH($A$41, Main!G47))), Main!H47, 0)</f>
        <v>0</v>
      </c>
      <c r="B59" s="16">
        <f>IF(AND(Main!C47="RMA", ISNUMBER(SEARCH($B$41, Main!G47))), Main!H47, 0)</f>
        <v>0</v>
      </c>
      <c r="C59" s="16">
        <f>IF(AND(Main!C47="RMA", ISNUMBER(SEARCH($C$41, Main!G47))), Main!H47, 0)</f>
        <v>0</v>
      </c>
      <c r="D59" s="16">
        <f>IF(AND(Main!C47="RMA", ISNUMBER(SEARCH($D$41, Main!G47))), Main!H47, 0)</f>
        <v>0</v>
      </c>
      <c r="E59" s="16">
        <f>IF(AND(Main!C47="RMA", ISNUMBER(SEARCH($E$41, Main!G47))), Main!H47, 0)</f>
        <v>0</v>
      </c>
      <c r="F59" s="16">
        <f>IF(AND(Main!C47="RMA", ISNUMBER(SEARCH($F$41, Main!G47))), Main!H47, 0)</f>
        <v>0</v>
      </c>
      <c r="G59" s="16">
        <f>IF(AND(Main!C47="RMA", ISNUMBER(SEARCH($G$41, Main!G47))), Main!H47, 0)</f>
        <v>0</v>
      </c>
      <c r="H59" s="16">
        <f>IF(AND(Main!C47="RMA", ISNUMBER(SEARCH($H$41, Main!G47))), Main!H47, 0)</f>
        <v>0</v>
      </c>
      <c r="I59" s="16">
        <f>IF(AND(Main!C47="RMA", ISNUMBER(SEARCH($I$41, Main!G47))), Main!H47, 0)</f>
        <v>0</v>
      </c>
      <c r="J59" s="16">
        <f>IF(AND(Main!C47="RMA", ISNUMBER(SEARCH($J$41, Main!G47))), Main!H47, 0)</f>
        <v>0</v>
      </c>
      <c r="L59" s="16">
        <f>IF(AND(Main!C47="RTV", ISNUMBER(SEARCH($A$41, Main!G47))), Main!H47, 0)</f>
        <v>0</v>
      </c>
      <c r="M59" s="16">
        <f>IF(AND(Main!C47="RTV", ISNUMBER(SEARCH($B$41, Main!G47))), Main!H47, 0)</f>
        <v>0</v>
      </c>
      <c r="N59" s="16">
        <f>IF(AND(Main!C47="RTV", ISNUMBER(SEARCH($C$41, Main!G47))), Main!H47, 0)</f>
        <v>0</v>
      </c>
      <c r="O59" s="16">
        <f>IF(AND(Main!C47="RTV", ISNUMBER(SEARCH($D$41, Main!G47))), Main!H47, 0)</f>
        <v>0</v>
      </c>
      <c r="P59" s="16">
        <f>IF(AND(Main!C47="RTV", ISNUMBER(SEARCH($E$41, Main!G47))), Main!H47, 0)</f>
        <v>0</v>
      </c>
      <c r="Q59" s="16">
        <f>IF(AND(Main!C47="RTV", ISNUMBER(SEARCH($F$41, Main!G47))), Main!H47, 0)</f>
        <v>0</v>
      </c>
      <c r="R59" s="16">
        <f>IF(AND(Main!C47="RTV", ISNUMBER(SEARCH($G$41, Main!G47))), Main!H47, 0)</f>
        <v>0</v>
      </c>
      <c r="S59" s="16">
        <f>IF(AND(Main!C47="RTV", ISNUMBER(SEARCH($H$41, Main!G47))), Main!H47, 0)</f>
        <v>0</v>
      </c>
      <c r="T59" s="16">
        <f>IF(AND(Main!C47="RTV", ISNUMBER(SEARCH($I$41, Main!G47))), Main!H47, 0)</f>
        <v>0</v>
      </c>
      <c r="U59" s="16">
        <f>IF(AND(Main!C47="RTV", ISNUMBER(SEARCH($J$41, Main!G47))), Main!H47, 0)</f>
        <v>0</v>
      </c>
    </row>
    <row r="60" spans="1:21" x14ac:dyDescent="0.3">
      <c r="A60" s="16">
        <f>IF(AND(Main!C48="RMA", ISNUMBER(SEARCH($A$41, Main!G48))), Main!H48, 0)</f>
        <v>0</v>
      </c>
      <c r="B60" s="16">
        <f>IF(AND(Main!C48="RMA", ISNUMBER(SEARCH($B$41, Main!G48))), Main!H48, 0)</f>
        <v>0</v>
      </c>
      <c r="C60" s="16">
        <f>IF(AND(Main!C48="RMA", ISNUMBER(SEARCH($C$41, Main!G48))), Main!H48, 0)</f>
        <v>0</v>
      </c>
      <c r="D60" s="16">
        <f>IF(AND(Main!C48="RMA", ISNUMBER(SEARCH($D$41, Main!G48))), Main!H48, 0)</f>
        <v>0</v>
      </c>
      <c r="E60" s="16">
        <f>IF(AND(Main!C48="RMA", ISNUMBER(SEARCH($E$41, Main!G48))), Main!H48, 0)</f>
        <v>0</v>
      </c>
      <c r="F60" s="16">
        <f>IF(AND(Main!C48="RMA", ISNUMBER(SEARCH($F$41, Main!G48))), Main!H48, 0)</f>
        <v>0</v>
      </c>
      <c r="G60" s="16">
        <f>IF(AND(Main!C48="RMA", ISNUMBER(SEARCH($G$41, Main!G48))), Main!H48, 0)</f>
        <v>0</v>
      </c>
      <c r="H60" s="16">
        <f>IF(AND(Main!C48="RMA", ISNUMBER(SEARCH($H$41, Main!G48))), Main!H48, 0)</f>
        <v>0</v>
      </c>
      <c r="I60" s="16">
        <f>IF(AND(Main!C48="RMA", ISNUMBER(SEARCH($I$41, Main!G48))), Main!H48, 0)</f>
        <v>0</v>
      </c>
      <c r="J60" s="16">
        <f>IF(AND(Main!C48="RMA", ISNUMBER(SEARCH($J$41, Main!G48))), Main!H48, 0)</f>
        <v>0</v>
      </c>
      <c r="L60" s="16">
        <f>IF(AND(Main!C48="RTV", ISNUMBER(SEARCH($A$41, Main!G48))), Main!H48, 0)</f>
        <v>0</v>
      </c>
      <c r="M60" s="16">
        <f>IF(AND(Main!C48="RTV", ISNUMBER(SEARCH($B$41, Main!G48))), Main!H48, 0)</f>
        <v>0</v>
      </c>
      <c r="N60" s="16">
        <f>IF(AND(Main!C48="RTV", ISNUMBER(SEARCH($C$41, Main!G48))), Main!H48, 0)</f>
        <v>0</v>
      </c>
      <c r="O60" s="16">
        <f>IF(AND(Main!C48="RTV", ISNUMBER(SEARCH($D$41, Main!G48))), Main!H48, 0)</f>
        <v>0</v>
      </c>
      <c r="P60" s="16">
        <f>IF(AND(Main!C48="RTV", ISNUMBER(SEARCH($E$41, Main!G48))), Main!H48, 0)</f>
        <v>0</v>
      </c>
      <c r="Q60" s="16">
        <f>IF(AND(Main!C48="RTV", ISNUMBER(SEARCH($F$41, Main!G48))), Main!H48, 0)</f>
        <v>0</v>
      </c>
      <c r="R60" s="16">
        <f>IF(AND(Main!C48="RTV", ISNUMBER(SEARCH($G$41, Main!G48))), Main!H48, 0)</f>
        <v>0</v>
      </c>
      <c r="S60" s="16">
        <f>IF(AND(Main!C48="RTV", ISNUMBER(SEARCH($H$41, Main!G48))), Main!H48, 0)</f>
        <v>0</v>
      </c>
      <c r="T60" s="16">
        <f>IF(AND(Main!C48="RTV", ISNUMBER(SEARCH($I$41, Main!G48))), Main!H48, 0)</f>
        <v>0</v>
      </c>
      <c r="U60" s="16">
        <f>IF(AND(Main!C48="RTV", ISNUMBER(SEARCH($J$41, Main!G48))), Main!H48, 0)</f>
        <v>0</v>
      </c>
    </row>
    <row r="61" spans="1:21" x14ac:dyDescent="0.3">
      <c r="A61" s="16">
        <f>IF(AND(Main!C49="RMA", ISNUMBER(SEARCH($A$41, Main!G49))), Main!H49, 0)</f>
        <v>0</v>
      </c>
      <c r="B61" s="16">
        <f>IF(AND(Main!C49="RMA", ISNUMBER(SEARCH($B$41, Main!G49))), Main!H49, 0)</f>
        <v>0</v>
      </c>
      <c r="C61" s="16">
        <f>IF(AND(Main!C49="RMA", ISNUMBER(SEARCH($C$41, Main!G49))), Main!H49, 0)</f>
        <v>0</v>
      </c>
      <c r="D61" s="16">
        <f>IF(AND(Main!C49="RMA", ISNUMBER(SEARCH($D$41, Main!G49))), Main!H49, 0)</f>
        <v>0</v>
      </c>
      <c r="E61" s="16">
        <f>IF(AND(Main!C49="RMA", ISNUMBER(SEARCH($E$41, Main!G49))), Main!H49, 0)</f>
        <v>0</v>
      </c>
      <c r="F61" s="16">
        <f>IF(AND(Main!C49="RMA", ISNUMBER(SEARCH($F$41, Main!G49))), Main!H49, 0)</f>
        <v>0</v>
      </c>
      <c r="G61" s="16">
        <f>IF(AND(Main!C49="RMA", ISNUMBER(SEARCH($G$41, Main!G49))), Main!H49, 0)</f>
        <v>0</v>
      </c>
      <c r="H61" s="16">
        <f>IF(AND(Main!C49="RMA", ISNUMBER(SEARCH($H$41, Main!G49))), Main!H49, 0)</f>
        <v>0</v>
      </c>
      <c r="I61" s="16">
        <f>IF(AND(Main!C49="RMA", ISNUMBER(SEARCH($I$41, Main!G49))), Main!H49, 0)</f>
        <v>0</v>
      </c>
      <c r="J61" s="16">
        <f>IF(AND(Main!C49="RMA", ISNUMBER(SEARCH($J$41, Main!G49))), Main!H49, 0)</f>
        <v>0</v>
      </c>
      <c r="L61" s="16">
        <f>IF(AND(Main!C49="RTV", ISNUMBER(SEARCH($A$41, Main!G49))), Main!H49, 0)</f>
        <v>0</v>
      </c>
      <c r="M61" s="16">
        <f>IF(AND(Main!C49="RTV", ISNUMBER(SEARCH($B$41, Main!G49))), Main!H49, 0)</f>
        <v>0</v>
      </c>
      <c r="N61" s="16">
        <f>IF(AND(Main!C49="RTV", ISNUMBER(SEARCH($C$41, Main!G49))), Main!H49, 0)</f>
        <v>0</v>
      </c>
      <c r="O61" s="16">
        <f>IF(AND(Main!C49="RTV", ISNUMBER(SEARCH($D$41, Main!G49))), Main!H49, 0)</f>
        <v>0</v>
      </c>
      <c r="P61" s="16">
        <f>IF(AND(Main!C49="RTV", ISNUMBER(SEARCH($E$41, Main!G49))), Main!H49, 0)</f>
        <v>0</v>
      </c>
      <c r="Q61" s="16">
        <f>IF(AND(Main!C49="RTV", ISNUMBER(SEARCH($F$41, Main!G49))), Main!H49, 0)</f>
        <v>0</v>
      </c>
      <c r="R61" s="16">
        <f>IF(AND(Main!C49="RTV", ISNUMBER(SEARCH($G$41, Main!G49))), Main!H49, 0)</f>
        <v>0</v>
      </c>
      <c r="S61" s="16">
        <f>IF(AND(Main!C49="RTV", ISNUMBER(SEARCH($H$41, Main!G49))), Main!H49, 0)</f>
        <v>0</v>
      </c>
      <c r="T61" s="16">
        <f>IF(AND(Main!C49="RTV", ISNUMBER(SEARCH($I$41, Main!G49))), Main!H49, 0)</f>
        <v>0</v>
      </c>
      <c r="U61" s="16">
        <f>IF(AND(Main!C49="RTV", ISNUMBER(SEARCH($J$41, Main!G49))), Main!H49, 0)</f>
        <v>0</v>
      </c>
    </row>
    <row r="62" spans="1:21" x14ac:dyDescent="0.3">
      <c r="A62" s="16">
        <f>IF(AND(Main!C50="RMA", ISNUMBER(SEARCH($A$41, Main!G50))), Main!H50, 0)</f>
        <v>0</v>
      </c>
      <c r="B62" s="16">
        <f>IF(AND(Main!C50="RMA", ISNUMBER(SEARCH($B$41, Main!G50))), Main!H50, 0)</f>
        <v>0</v>
      </c>
      <c r="C62" s="16">
        <f>IF(AND(Main!C50="RMA", ISNUMBER(SEARCH($C$41, Main!G50))), Main!H50, 0)</f>
        <v>0</v>
      </c>
      <c r="D62" s="16">
        <f>IF(AND(Main!C50="RMA", ISNUMBER(SEARCH($D$41, Main!G50))), Main!H50, 0)</f>
        <v>0</v>
      </c>
      <c r="E62" s="16">
        <f>IF(AND(Main!C50="RMA", ISNUMBER(SEARCH($E$41, Main!G50))), Main!H50, 0)</f>
        <v>0</v>
      </c>
      <c r="F62" s="16">
        <f>IF(AND(Main!C50="RMA", ISNUMBER(SEARCH($F$41, Main!G50))), Main!H50, 0)</f>
        <v>0</v>
      </c>
      <c r="G62" s="16">
        <f>IF(AND(Main!C50="RMA", ISNUMBER(SEARCH($G$41, Main!G50))), Main!H50, 0)</f>
        <v>0</v>
      </c>
      <c r="H62" s="16">
        <f>IF(AND(Main!C50="RMA", ISNUMBER(SEARCH($H$41, Main!G50))), Main!H50, 0)</f>
        <v>0</v>
      </c>
      <c r="I62" s="16">
        <f>IF(AND(Main!C50="RMA", ISNUMBER(SEARCH($I$41, Main!G50))), Main!H50, 0)</f>
        <v>0</v>
      </c>
      <c r="J62" s="16">
        <f>IF(AND(Main!C50="RMA", ISNUMBER(SEARCH($J$41, Main!G50))), Main!H50, 0)</f>
        <v>0</v>
      </c>
      <c r="L62" s="16">
        <f>IF(AND(Main!C50="RTV", ISNUMBER(SEARCH($A$41, Main!G50))), Main!H50, 0)</f>
        <v>0</v>
      </c>
      <c r="M62" s="16">
        <f>IF(AND(Main!C50="RTV", ISNUMBER(SEARCH($B$41, Main!G50))), Main!H50, 0)</f>
        <v>0</v>
      </c>
      <c r="N62" s="16">
        <f>IF(AND(Main!C50="RTV", ISNUMBER(SEARCH($C$41, Main!G50))), Main!H50, 0)</f>
        <v>0</v>
      </c>
      <c r="O62" s="16">
        <f>IF(AND(Main!C50="RTV", ISNUMBER(SEARCH($D$41, Main!G50))), Main!H50, 0)</f>
        <v>0</v>
      </c>
      <c r="P62" s="16">
        <f>IF(AND(Main!C50="RTV", ISNUMBER(SEARCH($E$41, Main!G50))), Main!H50, 0)</f>
        <v>0</v>
      </c>
      <c r="Q62" s="16">
        <f>IF(AND(Main!C50="RTV", ISNUMBER(SEARCH($F$41, Main!G50))), Main!H50, 0)</f>
        <v>0</v>
      </c>
      <c r="R62" s="16">
        <f>IF(AND(Main!C50="RTV", ISNUMBER(SEARCH($G$41, Main!G50))), Main!H50, 0)</f>
        <v>0</v>
      </c>
      <c r="S62" s="16">
        <f>IF(AND(Main!C50="RTV", ISNUMBER(SEARCH($H$41, Main!G50))), Main!H50, 0)</f>
        <v>0</v>
      </c>
      <c r="T62" s="16">
        <f>IF(AND(Main!C50="RTV", ISNUMBER(SEARCH($I$41, Main!G50))), Main!H50, 0)</f>
        <v>0</v>
      </c>
      <c r="U62" s="16">
        <f>IF(AND(Main!C50="RTV", ISNUMBER(SEARCH($J$41, Main!G50))), Main!H50, 0)</f>
        <v>0</v>
      </c>
    </row>
    <row r="63" spans="1:21" x14ac:dyDescent="0.3">
      <c r="A63" s="16">
        <f>IF(AND(Main!C51="RMA", ISNUMBER(SEARCH($A$41, Main!G51))), Main!H51, 0)</f>
        <v>0</v>
      </c>
      <c r="B63" s="16">
        <f>IF(AND(Main!C51="RMA", ISNUMBER(SEARCH($B$41, Main!G51))), Main!H51, 0)</f>
        <v>0</v>
      </c>
      <c r="C63" s="16">
        <f>IF(AND(Main!C51="RMA", ISNUMBER(SEARCH($C$41, Main!G51))), Main!H51, 0)</f>
        <v>0</v>
      </c>
      <c r="D63" s="16">
        <f>IF(AND(Main!C51="RMA", ISNUMBER(SEARCH($D$41, Main!G51))), Main!H51, 0)</f>
        <v>0</v>
      </c>
      <c r="E63" s="16">
        <f>IF(AND(Main!C51="RMA", ISNUMBER(SEARCH($E$41, Main!G51))), Main!H51, 0)</f>
        <v>0</v>
      </c>
      <c r="F63" s="16">
        <f>IF(AND(Main!C51="RMA", ISNUMBER(SEARCH($F$41, Main!G51))), Main!H51, 0)</f>
        <v>0</v>
      </c>
      <c r="G63" s="16">
        <f>IF(AND(Main!C51="RMA", ISNUMBER(SEARCH($G$41, Main!G51))), Main!H51, 0)</f>
        <v>0</v>
      </c>
      <c r="H63" s="16">
        <f>IF(AND(Main!C51="RMA", ISNUMBER(SEARCH($H$41, Main!G51))), Main!H51, 0)</f>
        <v>0</v>
      </c>
      <c r="I63" s="16">
        <f>IF(AND(Main!C51="RMA", ISNUMBER(SEARCH($I$41, Main!G51))), Main!H51, 0)</f>
        <v>0</v>
      </c>
      <c r="J63" s="16">
        <f>IF(AND(Main!C51="RMA", ISNUMBER(SEARCH($J$41, Main!G51))), Main!H51, 0)</f>
        <v>0</v>
      </c>
      <c r="L63" s="16">
        <f>IF(AND(Main!C51="RTV", ISNUMBER(SEARCH($A$41, Main!G51))), Main!H51, 0)</f>
        <v>0</v>
      </c>
      <c r="M63" s="16">
        <f>IF(AND(Main!C51="RTV", ISNUMBER(SEARCH($B$41, Main!G51))), Main!H51, 0)</f>
        <v>0</v>
      </c>
      <c r="N63" s="16">
        <f>IF(AND(Main!C51="RTV", ISNUMBER(SEARCH($C$41, Main!G51))), Main!H51, 0)</f>
        <v>0</v>
      </c>
      <c r="O63" s="16">
        <f>IF(AND(Main!C51="RTV", ISNUMBER(SEARCH($D$41, Main!G51))), Main!H51, 0)</f>
        <v>0</v>
      </c>
      <c r="P63" s="16">
        <f>IF(AND(Main!C51="RTV", ISNUMBER(SEARCH($E$41, Main!G51))), Main!H51, 0)</f>
        <v>0</v>
      </c>
      <c r="Q63" s="16">
        <f>IF(AND(Main!C51="RTV", ISNUMBER(SEARCH($F$41, Main!G51))), Main!H51, 0)</f>
        <v>0</v>
      </c>
      <c r="R63" s="16">
        <f>IF(AND(Main!C51="RTV", ISNUMBER(SEARCH($G$41, Main!G51))), Main!H51, 0)</f>
        <v>0</v>
      </c>
      <c r="S63" s="16">
        <f>IF(AND(Main!C51="RTV", ISNUMBER(SEARCH($H$41, Main!G51))), Main!H51, 0)</f>
        <v>0</v>
      </c>
      <c r="T63" s="16">
        <f>IF(AND(Main!C51="RTV", ISNUMBER(SEARCH($I$41, Main!G51))), Main!H51, 0)</f>
        <v>0</v>
      </c>
      <c r="U63" s="16">
        <f>IF(AND(Main!C51="RTV", ISNUMBER(SEARCH($J$41, Main!G51))), Main!H51, 0)</f>
        <v>0</v>
      </c>
    </row>
    <row r="64" spans="1:21" x14ac:dyDescent="0.3">
      <c r="A64" s="132"/>
      <c r="B64" s="132"/>
      <c r="C64" s="132"/>
      <c r="D64" s="132"/>
      <c r="E64" s="132"/>
      <c r="F64" s="132"/>
      <c r="G64" s="132"/>
      <c r="H64" s="132"/>
      <c r="I64" s="132"/>
      <c r="J64" s="132"/>
      <c r="L64" s="132"/>
      <c r="M64" s="132"/>
      <c r="N64" s="132"/>
      <c r="O64" s="132"/>
      <c r="P64" s="132"/>
      <c r="Q64" s="132"/>
      <c r="R64" s="132"/>
      <c r="S64" s="132"/>
      <c r="T64" s="132"/>
      <c r="U64" s="132"/>
    </row>
    <row r="65" spans="1:21" x14ac:dyDescent="0.3">
      <c r="A65" s="134">
        <f t="shared" ref="A65:J65" si="4">SUM(A42:A63)</f>
        <v>0</v>
      </c>
      <c r="B65" s="134">
        <f t="shared" si="4"/>
        <v>0</v>
      </c>
      <c r="C65" s="134">
        <f t="shared" si="4"/>
        <v>0</v>
      </c>
      <c r="D65" s="134">
        <f t="shared" si="4"/>
        <v>0</v>
      </c>
      <c r="E65" s="134">
        <f t="shared" si="4"/>
        <v>0</v>
      </c>
      <c r="F65" s="134">
        <f t="shared" si="4"/>
        <v>0</v>
      </c>
      <c r="G65" s="134">
        <f t="shared" si="4"/>
        <v>0</v>
      </c>
      <c r="H65" s="134">
        <f t="shared" si="4"/>
        <v>0</v>
      </c>
      <c r="I65" s="134">
        <f t="shared" si="4"/>
        <v>0</v>
      </c>
      <c r="J65" s="134">
        <f t="shared" si="4"/>
        <v>0</v>
      </c>
      <c r="L65" s="134">
        <f t="shared" ref="L65:U65" si="5">SUM(L42:L63)</f>
        <v>0</v>
      </c>
      <c r="M65" s="134">
        <f t="shared" si="5"/>
        <v>0</v>
      </c>
      <c r="N65" s="134">
        <f t="shared" si="5"/>
        <v>0</v>
      </c>
      <c r="O65" s="134">
        <f t="shared" si="5"/>
        <v>0</v>
      </c>
      <c r="P65" s="134">
        <f t="shared" si="5"/>
        <v>0</v>
      </c>
      <c r="Q65" s="134">
        <f t="shared" si="5"/>
        <v>0</v>
      </c>
      <c r="R65" s="134">
        <f t="shared" si="5"/>
        <v>0</v>
      </c>
      <c r="S65" s="134">
        <f t="shared" si="5"/>
        <v>0</v>
      </c>
      <c r="T65" s="134">
        <f t="shared" si="5"/>
        <v>0</v>
      </c>
      <c r="U65" s="134">
        <f t="shared" si="5"/>
        <v>0</v>
      </c>
    </row>
  </sheetData>
  <mergeCells count="4">
    <mergeCell ref="A1:J1"/>
    <mergeCell ref="L1:U1"/>
    <mergeCell ref="A40:J40"/>
    <mergeCell ref="L40:U40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3FE04-E82B-4016-A748-868595B69CD1}">
  <sheetPr codeName="Sheet3">
    <pageSetUpPr fitToPage="1"/>
  </sheetPr>
  <dimension ref="A2:AG55"/>
  <sheetViews>
    <sheetView workbookViewId="0">
      <selection activeCell="K26" sqref="K26"/>
    </sheetView>
  </sheetViews>
  <sheetFormatPr defaultColWidth="8.88671875" defaultRowHeight="14.4" x14ac:dyDescent="0.3"/>
  <cols>
    <col min="1" max="1" width="16.6640625" style="2" bestFit="1" customWidth="1"/>
    <col min="2" max="2" width="21.33203125" style="2" bestFit="1" customWidth="1"/>
    <col min="3" max="3" width="17.33203125" style="2" bestFit="1" customWidth="1"/>
    <col min="4" max="4" width="20.44140625" style="2" customWidth="1"/>
    <col min="5" max="6" width="19.33203125" style="2" bestFit="1" customWidth="1"/>
    <col min="7" max="7" width="22.33203125" style="2" bestFit="1" customWidth="1"/>
    <col min="8" max="8" width="17.33203125" style="2" bestFit="1" customWidth="1"/>
    <col min="9" max="9" width="22.88671875" style="2" bestFit="1" customWidth="1"/>
    <col min="10" max="10" width="18.6640625" style="2" bestFit="1" customWidth="1"/>
    <col min="11" max="11" width="20.33203125" style="2" bestFit="1" customWidth="1"/>
    <col min="12" max="12" width="17.109375" style="2" customWidth="1"/>
    <col min="13" max="13" width="16.88671875" style="2" customWidth="1"/>
    <col min="14" max="14" width="17.33203125" style="2" customWidth="1"/>
    <col min="15" max="15" width="15" style="2" bestFit="1" customWidth="1"/>
    <col min="16" max="16" width="4.44140625" style="2" customWidth="1"/>
    <col min="17" max="17" width="15.6640625" style="2" bestFit="1" customWidth="1"/>
    <col min="18" max="25" width="8.88671875" style="2"/>
    <col min="26" max="28" width="8.88671875" style="2" customWidth="1"/>
    <col min="29" max="29" width="8.88671875" style="2"/>
    <col min="30" max="31" width="8.88671875" style="2" customWidth="1"/>
    <col min="32" max="32" width="106.33203125" style="2" bestFit="1" customWidth="1"/>
    <col min="33" max="34" width="8.88671875" style="2" customWidth="1"/>
    <col min="35" max="16384" width="8.88671875" style="2"/>
  </cols>
  <sheetData>
    <row r="2" spans="2:33" ht="19.8" x14ac:dyDescent="0.4">
      <c r="B2" s="203" t="str">
        <f>CONCATENATE(TEXT(Main!B30,"dddd")," - ", TEXT(Main!A1,"mm/dd/yyyy")," - ",,Main!F1," - "," BridgeReport")</f>
        <v xml:space="preserve"> -  - chrlsim -  BridgeReport</v>
      </c>
      <c r="C2" s="203"/>
      <c r="D2" s="203"/>
      <c r="E2" s="203"/>
      <c r="F2" s="203"/>
      <c r="G2" s="203"/>
      <c r="H2" s="203"/>
    </row>
    <row r="3" spans="2:33" ht="15" thickBot="1" x14ac:dyDescent="0.35"/>
    <row r="4" spans="2:33" ht="29.4" thickBot="1" x14ac:dyDescent="0.45">
      <c r="B4" s="32" t="str">
        <f>IF(Main!B2="","",Main!B2)</f>
        <v>DeviceType</v>
      </c>
      <c r="C4" s="13" t="str">
        <f>IF(Main!I2="","",Main!I2)</f>
        <v>rmaQUOTA</v>
      </c>
      <c r="D4" s="13" t="str">
        <f>IF(Main!J2="","",Main!J2)</f>
        <v>taskTIME</v>
      </c>
      <c r="E4" s="116" t="str">
        <f>IF(Main!M2="","",Main!M2)</f>
        <v>DSCS headcount</v>
      </c>
      <c r="F4" s="13" t="s">
        <v>53</v>
      </c>
      <c r="G4" s="13" t="s">
        <v>47</v>
      </c>
      <c r="H4" s="13" t="s">
        <v>48</v>
      </c>
      <c r="I4" s="148" t="s">
        <v>115</v>
      </c>
      <c r="J4" s="202" t="s">
        <v>82</v>
      </c>
      <c r="K4" s="203"/>
      <c r="L4" s="76"/>
      <c r="AE4" s="107" t="s">
        <v>60</v>
      </c>
      <c r="AF4" s="11" t="e">
        <f>CONCATENATE(
    Main!F1 &amp; " clocked in " &amp;
    IF(HOUR(J28)&gt;0, HOUR(J28) &amp; " hour" &amp; IF(HOUR(J28)&gt;1,"s","") &amp; " ","") &amp;
    IF(MINUTE(J28)&gt;0, MINUTE(J28) &amp; " minute" &amp; IF(MINUTE(J28)&gt;1,"s","") &amp; " ","") &amp;
    J29 &amp;
    IF(ISBLANK(K28),"",
        " and clocked out " &amp;
        IF(HOUR(K28)&gt;0, HOUR(K28) &amp; " hour" &amp; IF(HOUR(K28)&gt;1,"s","") &amp; " ","") &amp;
        IF(MINUTE(K28)&gt;0, MINUTE(K28) &amp; " minute" &amp; IF(MINUTE(K28)&gt;1,"s","") &amp; " ","") &amp;
        K29 &amp; ". Headcount was adjusted for this change."
    )
)</f>
        <v>#VALUE!</v>
      </c>
      <c r="AG4" s="32" t="e">
        <f>IF(#REF!="","",#REF!)</f>
        <v>#REF!</v>
      </c>
    </row>
    <row r="5" spans="2:33" ht="27" thickTop="1" thickBot="1" x14ac:dyDescent="0.35">
      <c r="B5" s="33" t="str">
        <f>IF(Main!B3="","",Main!B3)</f>
        <v>DeviceType</v>
      </c>
      <c r="C5" s="33" t="str">
        <f>IF(Main!I3="","",Main!I3)</f>
        <v/>
      </c>
      <c r="D5" s="30" t="str">
        <f>IF(Main!J3="","",Main!J3)</f>
        <v/>
      </c>
      <c r="E5" s="118" t="e">
        <f>Main!N17</f>
        <v>#DIV/0!</v>
      </c>
      <c r="F5" s="85" t="str">
        <f>IF(Main!Q3="","",Main!Q3)</f>
        <v/>
      </c>
      <c r="H5" s="143">
        <f>IFERROR(Main!S3,0)</f>
        <v>0</v>
      </c>
      <c r="I5" s="147">
        <f>IFERROR(E5*H5,0)</f>
        <v>0</v>
      </c>
      <c r="L5" s="106"/>
      <c r="AE5" s="107" t="s">
        <v>61</v>
      </c>
      <c r="AF5" s="2" t="str">
        <f>IF(AF6="",IF(AF8="","",CONCATENATE(" "&amp;Main!F1&amp;" reported: ")),CONCATENATE(Main!F1&amp;" reported "))</f>
        <v/>
      </c>
      <c r="AG5" s="106" t="e">
        <f>IF(#REF!="","",#REF!)</f>
        <v>#REF!</v>
      </c>
    </row>
    <row r="6" spans="2:33" ht="16.8" thickTop="1" x14ac:dyDescent="0.3">
      <c r="B6" s="17" t="str">
        <f>IF(Main!B4="","",Main!B4)</f>
        <v>ZebraMC</v>
      </c>
      <c r="C6" s="15">
        <f>IF(Main!I4="","",Main!I4)</f>
        <v>10</v>
      </c>
      <c r="D6" s="25">
        <f>IF(Main!J4="","",Main!J4)</f>
        <v>0</v>
      </c>
      <c r="E6" s="117">
        <f>IF(Main!M4="","",Main!M4)</f>
        <v>0</v>
      </c>
      <c r="F6" s="64">
        <f>IF(Main!Q4="","",Main!Q4)</f>
        <v>0</v>
      </c>
      <c r="G6" s="8">
        <f>IF(Main!D4="","",Main!D4)</f>
        <v>0</v>
      </c>
      <c r="H6" s="48">
        <f>Main!S4</f>
        <v>0</v>
      </c>
      <c r="I6" s="64"/>
      <c r="J6" s="201" t="e">
        <f>IF(I5&gt;1,AF32,AF31)</f>
        <v>#VALUE!</v>
      </c>
      <c r="K6" s="201"/>
      <c r="L6" s="201"/>
      <c r="AE6" s="107" t="s">
        <v>62</v>
      </c>
      <c r="AF6" s="11" t="str">
        <f>IF(D33&gt;0,CONCATENATE(TEXT(D33,"hh:mm:ss")&amp;" hours of Provision work completed."),"")</f>
        <v/>
      </c>
      <c r="AG6" s="106" t="e">
        <f>IF(#REF!="","",#REF!)</f>
        <v>#REF!</v>
      </c>
    </row>
    <row r="7" spans="2:33" ht="16.2" x14ac:dyDescent="0.3">
      <c r="B7" s="17" t="str">
        <f>IF(Main!B5="","",Main!B5)</f>
        <v>ZebraTC</v>
      </c>
      <c r="C7" s="15">
        <f>IF(Main!I5="","",Main!I5)</f>
        <v>18</v>
      </c>
      <c r="D7" s="25">
        <f>IF(Main!J5="","",Main!J5)</f>
        <v>0</v>
      </c>
      <c r="E7" s="64">
        <f>IF(Main!M5="","",Main!M5)</f>
        <v>0</v>
      </c>
      <c r="F7" s="64">
        <f>IF(Main!Q5="","",Main!Q5)</f>
        <v>0</v>
      </c>
      <c r="G7" s="8">
        <f>IF(Main!D5="","",Main!D5)</f>
        <v>0</v>
      </c>
      <c r="H7" s="48">
        <f>Main!S5</f>
        <v>0</v>
      </c>
      <c r="I7" s="64"/>
      <c r="J7" s="201"/>
      <c r="K7" s="201"/>
      <c r="L7" s="201"/>
      <c r="AE7" s="107" t="s">
        <v>63</v>
      </c>
      <c r="AF7" s="11" t="str">
        <f>IF(AF6="","", IF(AF8="", "", " and "))</f>
        <v/>
      </c>
      <c r="AG7" s="106" t="e">
        <f>IF(#REF!="","",#REF!)</f>
        <v>#REF!</v>
      </c>
    </row>
    <row r="8" spans="2:33" ht="16.2" x14ac:dyDescent="0.3">
      <c r="B8" s="17" t="str">
        <f>IF(Main!B6="","",Main!B6)</f>
        <v>PC</v>
      </c>
      <c r="C8" s="15">
        <f>IF(Main!I6="","",Main!I6)</f>
        <v>1</v>
      </c>
      <c r="D8" s="25">
        <f>IF(Main!J6="","",Main!J6)</f>
        <v>0</v>
      </c>
      <c r="E8" s="64">
        <f>IF(Main!M6="","",Main!M6)</f>
        <v>0</v>
      </c>
      <c r="F8" s="64">
        <f>IF(Main!Q6="","",Main!Q6)</f>
        <v>0</v>
      </c>
      <c r="G8" s="8">
        <f>IF(Main!D6="","",Main!D6)</f>
        <v>0</v>
      </c>
      <c r="H8" s="48">
        <f>Main!S6</f>
        <v>0</v>
      </c>
      <c r="I8" s="64"/>
      <c r="J8" s="201"/>
      <c r="K8" s="201"/>
      <c r="L8" s="201"/>
      <c r="AE8" s="107" t="s">
        <v>64</v>
      </c>
      <c r="AF8" s="11" t="str">
        <f>IF(D34&gt;0,
    CONCATENATE(
        IF(HOUR(D34)&gt;0, HOUR(D34) &amp; " hour" &amp; IF(HOUR(D34)&gt;1,"s","") &amp; " ","") &amp;
        IF(MINUTE(D34)&gt;0, MINUTE(D34) &amp; " minute" &amp; IF(MINUTE(D34)&gt;1,"s","") &amp; " ","") &amp;
        "of other job tasks including: "
    ),
    ""
)</f>
        <v/>
      </c>
      <c r="AG8" s="73" t="e">
        <f>IF(#REF!="","",#REF!)</f>
        <v>#REF!</v>
      </c>
    </row>
    <row r="9" spans="2:33" ht="16.2" x14ac:dyDescent="0.3">
      <c r="B9" s="17" t="str">
        <f>IF(Main!B7="","",Main!B7)</f>
        <v>Avery6140</v>
      </c>
      <c r="C9" s="15">
        <f>IF(Main!I7="","",Main!I7)</f>
        <v>11</v>
      </c>
      <c r="D9" s="25">
        <f>IF(Main!J7="","",Main!J7)</f>
        <v>0</v>
      </c>
      <c r="E9" s="64">
        <f>IF(Main!M7="","",Main!M7)</f>
        <v>0</v>
      </c>
      <c r="F9" s="64">
        <f>IF(Main!Q7="","",Main!Q7)</f>
        <v>0</v>
      </c>
      <c r="G9" s="8">
        <f>IF(Main!D7="","",Main!D7)</f>
        <v>0</v>
      </c>
      <c r="H9" s="48">
        <f>Main!S7</f>
        <v>0</v>
      </c>
      <c r="I9" s="64"/>
      <c r="J9" s="201"/>
      <c r="K9" s="201"/>
      <c r="L9" s="201"/>
      <c r="AE9" s="107" t="s">
        <v>65</v>
      </c>
      <c r="AF9" s="177" t="str">
        <f>IF(H25="",
    "",
    CONCATENATE(
        IF(HOUR(H25)&gt;0, HOUR(H25) &amp; " hour" &amp; IF(HOUR(H25)&gt;1,"s","") &amp; " ","") &amp;
        IF(MINUTE(H25)&gt;0, MINUTE(H25) &amp; " minute" &amp; IF(MINUTE(H25)&gt;1,"s","") &amp; " ","") &amp;
        "of " &amp; G25 &amp; I25 &amp; " [" &amp; F25 &amp; "]"
    )
)</f>
        <v/>
      </c>
      <c r="AG9" s="17" t="str">
        <f t="shared" ref="AB9:AG24" si="0">IF(AF9="", "", IF(AF10="",".",IF(AF11=""," and  ", "; ")))</f>
        <v/>
      </c>
    </row>
    <row r="10" spans="2:33" ht="16.2" x14ac:dyDescent="0.3">
      <c r="B10" s="17" t="str">
        <f>IF(Main!B8="","",Main!B8)</f>
        <v>ZebraZD</v>
      </c>
      <c r="C10" s="15">
        <f>IF(Main!I8="","",Main!I8)</f>
        <v>8</v>
      </c>
      <c r="D10" s="25">
        <f>IF(Main!J8="","",Main!J8)</f>
        <v>0</v>
      </c>
      <c r="E10" s="64">
        <f>IF(Main!M8="","",Main!M8)</f>
        <v>0</v>
      </c>
      <c r="F10" s="64">
        <f>IF(Main!Q8="","",Main!Q8)</f>
        <v>0</v>
      </c>
      <c r="G10" s="8">
        <f>IF(Main!D8="","",Main!D8)</f>
        <v>0</v>
      </c>
      <c r="H10" s="48">
        <f>Main!S8</f>
        <v>0</v>
      </c>
      <c r="I10" s="64"/>
      <c r="J10" s="201"/>
      <c r="K10" s="201"/>
      <c r="L10" s="201"/>
      <c r="AE10" s="107" t="s">
        <v>66</v>
      </c>
      <c r="AF10" s="177" t="str">
        <f t="shared" ref="AF10:AF18" si="1">IF(H26="",
    "",
    CONCATENATE(
        IF(HOUR(H26)&gt;0, HOUR(H26) &amp; " hour" &amp; IF(HOUR(H26)&gt;1,"s","") &amp; " ","") &amp;
        IF(MINUTE(H26)&gt;0, MINUTE(H26) &amp; " minute" &amp; IF(MINUTE(H26)&gt;1,"s","") &amp; " ","") &amp;
        "of " &amp; G26 &amp; I26 &amp; " [" &amp; F26 &amp; "]"
    )
)</f>
        <v/>
      </c>
      <c r="AG10" s="17" t="str">
        <f t="shared" si="0"/>
        <v/>
      </c>
    </row>
    <row r="11" spans="2:33" ht="16.2" x14ac:dyDescent="0.3">
      <c r="B11" s="17" t="str">
        <f>IF(Main!B9="","",Main!B9)</f>
        <v>ZebraZQLn</v>
      </c>
      <c r="C11" s="15">
        <f>IF(Main!I9="","",Main!I9)</f>
        <v>8</v>
      </c>
      <c r="D11" s="25">
        <f>IF(Main!J9="","",Main!J9)</f>
        <v>0</v>
      </c>
      <c r="E11" s="64">
        <f>IF(Main!M9="","",Main!M9)</f>
        <v>0</v>
      </c>
      <c r="F11" s="64">
        <f>IF(Main!Q9="","",Main!Q9)</f>
        <v>0</v>
      </c>
      <c r="G11" s="8">
        <f>IF(Main!D9="","",Main!D9)</f>
        <v>0</v>
      </c>
      <c r="H11" s="48">
        <f>Main!S9</f>
        <v>0</v>
      </c>
      <c r="I11" s="64"/>
      <c r="J11" s="201"/>
      <c r="K11" s="201"/>
      <c r="L11" s="201"/>
      <c r="AE11" s="107" t="s">
        <v>67</v>
      </c>
      <c r="AF11" s="177" t="str">
        <f t="shared" si="1"/>
        <v/>
      </c>
      <c r="AG11" s="17" t="str">
        <f t="shared" si="0"/>
        <v/>
      </c>
    </row>
    <row r="12" spans="2:33" ht="16.2" x14ac:dyDescent="0.3">
      <c r="B12" s="17" t="str">
        <f>IF(Main!B10="","",Main!B10)</f>
        <v>ZebraZT</v>
      </c>
      <c r="C12" s="15">
        <f>IF(Main!I10="","",Main!I10)</f>
        <v>1</v>
      </c>
      <c r="D12" s="25">
        <f>IF(Main!J10="","",Main!J10)</f>
        <v>0</v>
      </c>
      <c r="E12" s="64">
        <f>IF(Main!M10="","",Main!M10)</f>
        <v>0</v>
      </c>
      <c r="F12" s="64">
        <f>IF(Main!Q10="","",Main!Q10)</f>
        <v>0</v>
      </c>
      <c r="G12" s="8">
        <f>IF(Main!D10="","",Main!D10)</f>
        <v>0</v>
      </c>
      <c r="H12" s="48">
        <f>Main!S10</f>
        <v>0</v>
      </c>
      <c r="I12" s="64"/>
      <c r="J12" s="201"/>
      <c r="K12" s="201"/>
      <c r="L12" s="201"/>
      <c r="AE12" s="107" t="s">
        <v>68</v>
      </c>
      <c r="AF12" s="177" t="str">
        <f t="shared" si="1"/>
        <v/>
      </c>
      <c r="AG12" s="17" t="str">
        <f t="shared" si="0"/>
        <v/>
      </c>
    </row>
    <row r="13" spans="2:33" ht="16.2" x14ac:dyDescent="0.3">
      <c r="B13" s="17" t="str">
        <f>IF(Main!B11="","",Main!B11)</f>
        <v>Honeywell</v>
      </c>
      <c r="C13" s="15">
        <f>IF(Main!I11="","",Main!I11)</f>
        <v>10</v>
      </c>
      <c r="D13" s="25">
        <f>IF(Main!J11="","",Main!J11)</f>
        <v>0</v>
      </c>
      <c r="E13" s="64">
        <f>IF(Main!M11="","",Main!M11)</f>
        <v>0</v>
      </c>
      <c r="F13" s="64">
        <f>IF(Main!Q11="","",Main!Q11)</f>
        <v>0</v>
      </c>
      <c r="G13" s="8">
        <f>IF(Main!D11="","",Main!D11)</f>
        <v>0</v>
      </c>
      <c r="H13" s="48">
        <f>Main!S11</f>
        <v>0</v>
      </c>
      <c r="I13" s="64"/>
      <c r="J13" s="201"/>
      <c r="K13" s="201"/>
      <c r="L13" s="201"/>
      <c r="AE13" s="107" t="s">
        <v>69</v>
      </c>
      <c r="AF13" s="177" t="str">
        <f t="shared" si="1"/>
        <v/>
      </c>
      <c r="AG13" s="17" t="str">
        <f>IF(AF13="", "", IF(AF14="",".",IF(AF16=""," and  ", "; ")))</f>
        <v/>
      </c>
    </row>
    <row r="14" spans="2:33" ht="16.2" x14ac:dyDescent="0.3">
      <c r="B14" s="17" t="str">
        <f>IF(Main!B12="","",Main!B12)</f>
        <v>PointMobile</v>
      </c>
      <c r="C14" s="38">
        <f>IF(Main!I12="","",Main!I12)</f>
        <v>1</v>
      </c>
      <c r="D14" s="39">
        <f>IF(Main!J12="","",Main!J12)</f>
        <v>0</v>
      </c>
      <c r="E14" s="64">
        <f>IF(Main!M12="","",Main!M12)</f>
        <v>0</v>
      </c>
      <c r="F14" s="64">
        <f>IF(Main!Q12="","",Main!Q12)</f>
        <v>0</v>
      </c>
      <c r="G14" s="8">
        <f>IF(Main!D12="","",Main!D12)</f>
        <v>0</v>
      </c>
      <c r="H14" s="48">
        <f>Main!S12</f>
        <v>0</v>
      </c>
      <c r="I14" s="64"/>
      <c r="J14" s="201"/>
      <c r="K14" s="201"/>
      <c r="L14" s="201"/>
      <c r="AE14" s="107" t="s">
        <v>70</v>
      </c>
      <c r="AF14" s="177" t="str">
        <f t="shared" si="1"/>
        <v/>
      </c>
      <c r="AG14" s="105" t="str">
        <f>IF(AF14="", "", IF(AF16="",".",IF(AF17=""," and  ", "; ")))</f>
        <v/>
      </c>
    </row>
    <row r="15" spans="2:33" ht="16.8" thickBot="1" x14ac:dyDescent="0.35">
      <c r="B15" s="17" t="str">
        <f>IF(Main!B13="","",Main!B13)</f>
        <v>ZebraRing</v>
      </c>
      <c r="C15" s="38">
        <f>IF(Main!I13="","",Main!I13)</f>
        <v>15</v>
      </c>
      <c r="D15" s="39">
        <f>IF(Main!J13="","",Main!J13)</f>
        <v>0</v>
      </c>
      <c r="E15" s="64">
        <f>IF(Main!M13="","",Main!M13)</f>
        <v>0</v>
      </c>
      <c r="F15" s="64">
        <f>IF(Main!Q13="","",Main!Q13)</f>
        <v>0</v>
      </c>
      <c r="G15" s="8">
        <f>IF(Main!D13="","",Main!D13)</f>
        <v>0</v>
      </c>
      <c r="H15" s="48">
        <f>Main!S13</f>
        <v>0</v>
      </c>
      <c r="I15" s="64"/>
      <c r="J15" s="201"/>
      <c r="K15" s="201"/>
      <c r="L15" s="201"/>
      <c r="AE15" s="107"/>
      <c r="AF15" s="177" t="str">
        <f t="shared" si="1"/>
        <v/>
      </c>
      <c r="AG15" s="105"/>
    </row>
    <row r="16" spans="2:33" ht="17.399999999999999" thickTop="1" thickBot="1" x14ac:dyDescent="0.35">
      <c r="B16" s="44" t="str">
        <f>IF(Main!B14="","",Main!B14)</f>
        <v>RTV Events</v>
      </c>
      <c r="C16" s="41">
        <f>IF(Main!I14="","",Main!I14)</f>
        <v>35</v>
      </c>
      <c r="D16" s="42">
        <f>IF(Main!J14="","",Main!J14)</f>
        <v>0</v>
      </c>
      <c r="E16" s="64">
        <f>IF(Main!M14="","",Main!M14)</f>
        <v>0</v>
      </c>
      <c r="F16" s="64">
        <f>IF(Main!Q14="","",Main!Q14)</f>
        <v>0</v>
      </c>
      <c r="G16" s="8">
        <f>IF(Main!F14="","",Main!F14)</f>
        <v>0</v>
      </c>
      <c r="H16" s="48">
        <f>Main!S14</f>
        <v>0</v>
      </c>
      <c r="I16" s="64"/>
      <c r="J16" s="201"/>
      <c r="K16" s="201"/>
      <c r="L16" s="201"/>
      <c r="AE16" s="107" t="s">
        <v>71</v>
      </c>
      <c r="AF16" s="177" t="str">
        <f t="shared" si="1"/>
        <v/>
      </c>
      <c r="AG16" s="105" t="str">
        <f t="shared" si="0"/>
        <v/>
      </c>
    </row>
    <row r="17" spans="1:33" ht="17.399999999999999" thickTop="1" thickBot="1" x14ac:dyDescent="0.35">
      <c r="B17" s="44" t="str">
        <f>IF(Main!B15="","",Main!B15)</f>
        <v>Prov Events</v>
      </c>
      <c r="C17" s="46">
        <f>IF(Main!I15="","",Main!I15)</f>
        <v>20</v>
      </c>
      <c r="D17" s="42">
        <f>IF(Main!J15="","",Main!J15)</f>
        <v>0</v>
      </c>
      <c r="E17" s="140">
        <f>IF(Main!M15="","",Main!M15)</f>
        <v>0</v>
      </c>
      <c r="F17" s="140">
        <f>IF(Main!Q15="","",Main!Q15)</f>
        <v>0</v>
      </c>
      <c r="G17" s="142">
        <f>IF(Main!F15="","",Main!F15)</f>
        <v>0</v>
      </c>
      <c r="H17" s="141">
        <f>Main!S15</f>
        <v>0</v>
      </c>
      <c r="I17" s="64"/>
      <c r="J17" s="44"/>
      <c r="K17" s="43"/>
      <c r="L17" s="77"/>
      <c r="AE17" s="107" t="s">
        <v>72</v>
      </c>
      <c r="AF17" s="177" t="str">
        <f t="shared" si="1"/>
        <v/>
      </c>
      <c r="AG17" s="105" t="str">
        <f>IF(AF17="", "", IF(AF18="",".",IF(AA19=""," and  ", "; ")))</f>
        <v/>
      </c>
    </row>
    <row r="18" spans="1:33" ht="16.8" thickTop="1" x14ac:dyDescent="0.3">
      <c r="B18" s="68"/>
      <c r="C18" s="4"/>
      <c r="D18" s="4"/>
      <c r="E18" s="4"/>
      <c r="F18" s="26"/>
      <c r="G18" s="26"/>
      <c r="H18" s="26"/>
      <c r="I18" s="5"/>
      <c r="J18" s="30"/>
      <c r="K18" s="5"/>
      <c r="L18" s="5"/>
      <c r="Q18" s="64"/>
      <c r="AE18" s="107" t="s">
        <v>73</v>
      </c>
      <c r="AF18" s="177" t="str">
        <f t="shared" si="1"/>
        <v/>
      </c>
      <c r="AG18" s="105" t="str">
        <f>IF(AF18="", "", IF(AA19="",".",IF(AA20=""," and  ", "; ")))</f>
        <v/>
      </c>
    </row>
    <row r="19" spans="1:33" x14ac:dyDescent="0.3">
      <c r="A19" s="68"/>
      <c r="B19" s="26"/>
      <c r="C19" s="26"/>
      <c r="D19" s="5"/>
      <c r="E19" s="30"/>
      <c r="F19" s="5"/>
      <c r="G19" s="5"/>
      <c r="Z19" s="107" t="s">
        <v>74</v>
      </c>
      <c r="AA19" s="17"/>
      <c r="AB19" s="105" t="str">
        <f t="shared" si="0"/>
        <v/>
      </c>
    </row>
    <row r="20" spans="1:33" ht="20.399999999999999" thickBot="1" x14ac:dyDescent="0.45">
      <c r="C20" s="76"/>
      <c r="D20" s="76"/>
      <c r="E20" s="76"/>
      <c r="F20" s="76"/>
      <c r="G20" s="76"/>
      <c r="H20" s="76"/>
      <c r="I20" s="76"/>
      <c r="J20" s="76"/>
      <c r="K20" s="5"/>
      <c r="Z20" s="107" t="s">
        <v>75</v>
      </c>
      <c r="AA20" s="17"/>
      <c r="AB20" s="105" t="str">
        <f t="shared" si="0"/>
        <v/>
      </c>
    </row>
    <row r="21" spans="1:33" ht="19.8" x14ac:dyDescent="0.4">
      <c r="A21" s="4"/>
      <c r="B21" s="203" t="s">
        <v>40</v>
      </c>
      <c r="C21" s="203"/>
      <c r="D21" s="203"/>
      <c r="F21" s="203" t="s">
        <v>58</v>
      </c>
      <c r="G21" s="203"/>
      <c r="H21" s="203"/>
      <c r="J21" s="203" t="s">
        <v>15</v>
      </c>
      <c r="K21" s="203"/>
      <c r="L21" s="94"/>
      <c r="P21" s="32"/>
      <c r="Z21" s="107" t="s">
        <v>76</v>
      </c>
      <c r="AA21" s="17"/>
      <c r="AB21" s="105" t="str">
        <f t="shared" si="0"/>
        <v/>
      </c>
    </row>
    <row r="22" spans="1:33" ht="18.600000000000001" customHeight="1" thickBot="1" x14ac:dyDescent="0.45">
      <c r="F22" s="94"/>
      <c r="G22" s="94"/>
      <c r="H22" s="94"/>
      <c r="Q22" s="110"/>
      <c r="R22" s="110"/>
      <c r="S22" s="110"/>
      <c r="T22" s="110"/>
      <c r="Z22" s="107" t="s">
        <v>77</v>
      </c>
      <c r="AA22" s="17"/>
      <c r="AB22" s="105" t="str">
        <f t="shared" si="0"/>
        <v/>
      </c>
    </row>
    <row r="23" spans="1:33" ht="16.2" x14ac:dyDescent="0.3">
      <c r="B23" s="65" t="str">
        <f>IF(Main!N8 = "","",Main!N8)</f>
        <v>TOT HRS</v>
      </c>
      <c r="C23" s="60" t="str">
        <f>IF(Main!O8 = "","",Main!O8)</f>
        <v/>
      </c>
      <c r="D23" s="12">
        <f>IF(Main!P8 = "","",Main!P8)</f>
        <v>0</v>
      </c>
      <c r="F23" s="69" t="s">
        <v>59</v>
      </c>
      <c r="H23" s="12">
        <f>Main!U28</f>
        <v>0</v>
      </c>
      <c r="J23" s="32" t="s">
        <v>41</v>
      </c>
      <c r="K23" s="75" t="s">
        <v>42</v>
      </c>
      <c r="L23" s="108"/>
      <c r="P23" s="110"/>
      <c r="Q23" s="110"/>
      <c r="R23" s="110"/>
      <c r="S23" s="110"/>
      <c r="T23" s="110"/>
      <c r="Z23" s="107" t="s">
        <v>78</v>
      </c>
      <c r="AB23" s="105" t="str">
        <f t="shared" si="0"/>
        <v/>
      </c>
    </row>
    <row r="24" spans="1:33" ht="16.8" thickBot="1" x14ac:dyDescent="0.35">
      <c r="G24" s="103"/>
      <c r="H24" s="12"/>
      <c r="J24" s="11">
        <v>0.33333333333333331</v>
      </c>
      <c r="K24" s="11">
        <v>0.6875</v>
      </c>
      <c r="L24" s="11"/>
      <c r="P24" s="110"/>
      <c r="Q24" s="110"/>
      <c r="R24" s="110"/>
      <c r="S24" s="110"/>
      <c r="T24" s="110"/>
      <c r="Z24" s="107" t="s">
        <v>79</v>
      </c>
      <c r="AB24" s="105" t="str">
        <f t="shared" si="0"/>
        <v/>
      </c>
    </row>
    <row r="25" spans="1:33" ht="16.2" x14ac:dyDescent="0.3">
      <c r="B25" s="205" t="s">
        <v>55</v>
      </c>
      <c r="C25" s="205"/>
      <c r="D25" s="205"/>
      <c r="F25" s="101" t="str">
        <f>IF(Main!W29="","",Main!W29)</f>
        <v/>
      </c>
      <c r="G25" s="103" t="str">
        <f>IF(Main!X29="","",Main!X29)</f>
        <v/>
      </c>
      <c r="H25" s="12" t="str">
        <f>IF(Main!Y29="","",Main!Y29)</f>
        <v/>
      </c>
      <c r="I25" s="2" t="str">
        <f>IF(Main!Z29="","",Main!Z29)</f>
        <v/>
      </c>
      <c r="J25" s="32" t="s">
        <v>43</v>
      </c>
      <c r="K25" s="32" t="s">
        <v>44</v>
      </c>
      <c r="L25" s="109"/>
      <c r="P25" s="110"/>
      <c r="Q25" s="110"/>
      <c r="R25" s="110"/>
      <c r="S25" s="110"/>
      <c r="T25" s="110"/>
      <c r="Z25" s="107" t="s">
        <v>80</v>
      </c>
      <c r="AB25" s="105" t="str">
        <f>IF(AA25="", "", IF(AA26="",".",IF(N54=""," and  ", "; ")))</f>
        <v/>
      </c>
    </row>
    <row r="26" spans="1:33" ht="16.95" customHeight="1" thickBot="1" x14ac:dyDescent="0.35">
      <c r="B26" s="98"/>
      <c r="C26" s="206" t="str">
        <f>IF(Main!N11="","",Main!N11)</f>
        <v>TRIAGE HRS</v>
      </c>
      <c r="D26" s="206"/>
      <c r="F26" s="101" t="str">
        <f>IF(Main!W30="","",Main!W30)</f>
        <v/>
      </c>
      <c r="G26" s="103" t="str">
        <f>IF(Main!X30="","",Main!X30)</f>
        <v/>
      </c>
      <c r="H26" s="12" t="str">
        <f>IF(Main!Y30="","",Main!Y30)</f>
        <v/>
      </c>
      <c r="I26" s="2" t="str">
        <f>IF(Main!Z30="","",Main!Z30)</f>
        <v/>
      </c>
      <c r="J26" s="11" t="str">
        <f>Main!D31</f>
        <v/>
      </c>
      <c r="K26" s="11" t="e" cm="1" vm="2">
        <f t="array" ref="K26">_xlfn._xlws.FILTER(Main!D30:D53, Main!C30:C53="EOD")</f>
        <v>#VALUE!</v>
      </c>
      <c r="L26" s="11"/>
      <c r="P26" s="110"/>
      <c r="Q26" s="110"/>
      <c r="R26" s="110"/>
      <c r="S26" s="110"/>
      <c r="T26" s="110"/>
      <c r="Z26" s="107" t="s">
        <v>81</v>
      </c>
      <c r="AB26" s="105" t="str">
        <f>IF(AA26="", "", IF(N54="",".",IF(N55=""," and  ", "; ")))</f>
        <v/>
      </c>
    </row>
    <row r="27" spans="1:33" ht="16.2" x14ac:dyDescent="0.3">
      <c r="B27" s="99" t="str">
        <f>IF(Main!N13="","",Main!N13)</f>
        <v>Production Detail</v>
      </c>
      <c r="C27" s="95" t="str">
        <f>IF(Main!O13="","",Main!O13)</f>
        <v>RMA</v>
      </c>
      <c r="D27" s="100">
        <f>IF(Main!P13="","",Main!P13)</f>
        <v>0</v>
      </c>
      <c r="F27" s="101" t="str">
        <f>IF(Main!W31="","",Main!W31)</f>
        <v/>
      </c>
      <c r="G27" s="103" t="str">
        <f>IF(Main!X31="","",Main!X31)</f>
        <v/>
      </c>
      <c r="H27" s="12" t="str">
        <f>IF(Main!Y31="","",Main!Y31)</f>
        <v/>
      </c>
      <c r="I27" s="2" t="str">
        <f>IF(Main!Z31="","",Main!Z31)</f>
        <v/>
      </c>
      <c r="J27" s="32" t="s">
        <v>45</v>
      </c>
      <c r="K27" s="32" t="s">
        <v>46</v>
      </c>
      <c r="L27" s="109"/>
      <c r="P27" s="110"/>
      <c r="Q27" s="110"/>
      <c r="R27" s="110"/>
      <c r="S27" s="110"/>
      <c r="T27" s="110"/>
    </row>
    <row r="28" spans="1:33" ht="16.8" thickBot="1" x14ac:dyDescent="0.35">
      <c r="B28" s="113" t="str">
        <f>IF(Main!N14="","",Main!N14)</f>
        <v/>
      </c>
      <c r="C28" s="114" t="str">
        <f>IF(Main!O14="","",Main!O14)</f>
        <v>RTV</v>
      </c>
      <c r="D28" s="115">
        <f>IF(Main!P14="","",Main!P14)</f>
        <v>0</v>
      </c>
      <c r="F28" s="101" t="str">
        <f>IF(Main!W32="","",Main!W32)</f>
        <v/>
      </c>
      <c r="G28" s="103" t="str">
        <f>IF(Main!X32="","",Main!X32)</f>
        <v/>
      </c>
      <c r="H28" s="12" t="str">
        <f>IF(Main!Y32="","",Main!Y32)</f>
        <v/>
      </c>
      <c r="I28" s="2" t="str">
        <f>IF(Main!Z32="","",Main!Z32)</f>
        <v/>
      </c>
      <c r="J28" s="12" t="e">
        <f>IF(J26&gt;J24,J26-J24, IF(J24=J26,"", J24-J26))</f>
        <v>#VALUE!</v>
      </c>
      <c r="K28" s="12" t="e" vm="1">
        <f>IF(K26&gt;K24,K26-K24,IF(K24=K26,"",K24-K26))</f>
        <v>#VALUE!</v>
      </c>
      <c r="L28" s="93"/>
      <c r="P28" s="110"/>
      <c r="Q28" s="110"/>
      <c r="R28" s="110"/>
      <c r="S28" s="110"/>
      <c r="T28" s="110"/>
    </row>
    <row r="29" spans="1:33" ht="17.399999999999999" thickTop="1" thickBot="1" x14ac:dyDescent="0.35">
      <c r="B29" s="207" t="e">
        <f>IF(Main!N15="","",Main!N15)</f>
        <v>#DIV/0!</v>
      </c>
      <c r="C29" s="209" t="str">
        <f>IF(Main!O15="","",Main!O15)</f>
        <v>Triage</v>
      </c>
      <c r="D29" s="211">
        <f>IF(Main!P15="","",Main!P15)</f>
        <v>0</v>
      </c>
      <c r="F29" s="101" t="str">
        <f>IF(Main!W33="","",Main!W33)</f>
        <v/>
      </c>
      <c r="G29" s="103" t="str">
        <f>IF(Main!X33="","",Main!X33)</f>
        <v/>
      </c>
      <c r="H29" s="12" t="str">
        <f>IF(Main!Y33="","",Main!Y33)</f>
        <v/>
      </c>
      <c r="I29" s="2" t="str">
        <f>IF(Main!Z33="","",Main!Z33)</f>
        <v/>
      </c>
      <c r="J29" s="32" t="str">
        <f>IF(J26&gt;J24,"late",IF(J26=J24,"on time","early"))</f>
        <v>late</v>
      </c>
      <c r="K29" s="32" t="e" vm="1">
        <f>IF(K26&gt;K24,"late",IF(K26=K24,"on time","early"))</f>
        <v>#VALUE!</v>
      </c>
      <c r="L29" s="109"/>
      <c r="P29" s="110"/>
      <c r="Q29" s="110"/>
      <c r="R29" s="110"/>
      <c r="S29" s="110"/>
      <c r="T29" s="110"/>
    </row>
    <row r="30" spans="1:33" ht="17.399999999999999" thickTop="1" thickBot="1" x14ac:dyDescent="0.35">
      <c r="B30" s="208"/>
      <c r="C30" s="210"/>
      <c r="D30" s="212"/>
      <c r="F30" s="101" t="str">
        <f>IF(Main!W34="","",Main!W34)</f>
        <v/>
      </c>
      <c r="G30" s="104" t="str">
        <f>IF(Main!X34="","",Main!X34)</f>
        <v/>
      </c>
      <c r="H30" s="12" t="str">
        <f>IF(Main!Y34="","",Main!Y34)</f>
        <v/>
      </c>
      <c r="I30" s="2" t="str">
        <f>IF(Main!Z34="","",Main!Z34)</f>
        <v/>
      </c>
      <c r="J30" s="101" t="str">
        <f>IF(J26&gt;J24,"late",IF(J26=J24,"on time","early"))</f>
        <v>late</v>
      </c>
      <c r="K30" s="101" t="e" vm="1">
        <f>IF(K26&gt;K24,"late",IF(K26=K24,"on time","early"))</f>
        <v>#VALUE!</v>
      </c>
      <c r="L30" s="78"/>
      <c r="P30" s="110"/>
      <c r="Q30" s="110"/>
      <c r="R30" s="110"/>
      <c r="S30" s="110"/>
      <c r="T30" s="110"/>
      <c r="AF30" s="166" t="s">
        <v>116</v>
      </c>
    </row>
    <row r="31" spans="1:33" ht="44.4" thickTop="1" thickBot="1" x14ac:dyDescent="0.35">
      <c r="F31" s="101"/>
      <c r="G31" s="104"/>
      <c r="H31" s="12"/>
      <c r="J31" s="11"/>
      <c r="K31" s="78"/>
      <c r="L31" s="78"/>
      <c r="P31" s="110"/>
      <c r="Q31" s="110"/>
      <c r="R31" s="110"/>
      <c r="S31" s="110"/>
      <c r="T31" s="110"/>
      <c r="AF31" s="166" t="e">
        <f>AF4&amp;AF5&amp;AF6&amp;K13&amp;AF7&amp;AF8&amp;AF9&amp;AG9&amp;AF10&amp;AG10&amp;AF11&amp;AG11&amp;AF12&amp;AG12&amp;AF13&amp;AG13&amp;AF14&amp;AG14&amp;AF16&amp;AG16&amp;AF17&amp;AG17&amp;AF18&amp;AG18&amp;AA19&amp;AB19&amp;AA20&amp;AB20&amp;AA21&amp;AB21&amp;AA22&amp;AB22&amp;AA23&amp;AB23&amp;AA24&amp;AB24&amp;AA25&amp;AB25&amp;AA26&amp;AB26&amp;"  "&amp;DATA!N2</f>
        <v>#VALUE!</v>
      </c>
    </row>
    <row r="32" spans="1:33" ht="21" thickTop="1" thickBot="1" x14ac:dyDescent="0.45">
      <c r="B32" s="204" t="e">
        <f>CONCATENATE("Non-PLAN Production and Allocated Time; Actual Triage: "&amp;TEXT(Main!N17,"00.00%"))</f>
        <v>#DIV/0!</v>
      </c>
      <c r="C32" s="204"/>
      <c r="D32" s="204"/>
      <c r="F32" s="101" t="str">
        <f>IF(Main!W35="","",Main!W35)</f>
        <v/>
      </c>
      <c r="G32" s="104" t="str">
        <f>IF(Main!X35="","",Main!X35)</f>
        <v/>
      </c>
      <c r="H32" s="12" t="str">
        <f>IF(Main!Y35="","",Main!Y35)</f>
        <v/>
      </c>
      <c r="J32" s="202" t="s">
        <v>156</v>
      </c>
      <c r="K32" s="203"/>
      <c r="P32" s="110"/>
      <c r="Q32" s="110"/>
      <c r="R32" s="110"/>
      <c r="S32" s="110"/>
      <c r="T32" s="110"/>
      <c r="AF32" s="166" t="str">
        <f>IFERROR("No bridge is needed, chrlsim is at " &amp; TEXT(I5, "000.00%") &amp; " to goal for production for (1) day.","")</f>
        <v>No bridge is needed, chrlsim is at 000.00% to goal for production for (1) day.</v>
      </c>
    </row>
    <row r="33" spans="2:20" ht="17.399999999999999" customHeight="1" thickTop="1" thickBot="1" x14ac:dyDescent="0.35">
      <c r="B33" s="48" t="e">
        <f>IF(Main!N18="","",Main!N18)</f>
        <v>#DIV/0!</v>
      </c>
      <c r="C33" s="95" t="str">
        <f>IF(Main!O18="","",Main!O18)</f>
        <v>PRV</v>
      </c>
      <c r="D33" s="97">
        <f>IF(Main!P18="","",Main!P18)</f>
        <v>0</v>
      </c>
      <c r="F33" s="101" t="str">
        <f>IF(Main!W36="","",Main!W36)</f>
        <v/>
      </c>
      <c r="G33" s="104" t="str">
        <f>IF(Main!X36="","",Main!X36)</f>
        <v/>
      </c>
      <c r="H33" s="12" t="str">
        <f>IF(Main!Y36="","",Main!Y36)</f>
        <v/>
      </c>
      <c r="P33" s="110"/>
      <c r="Q33" s="110"/>
      <c r="R33" s="110"/>
      <c r="S33" s="110"/>
      <c r="T33" s="110"/>
    </row>
    <row r="34" spans="2:20" ht="17.399999999999999" thickTop="1" thickBot="1" x14ac:dyDescent="0.35">
      <c r="B34" s="48" t="e">
        <f>IF(Main!N19="","",Main!N19)</f>
        <v>#DIV/0!</v>
      </c>
      <c r="C34" s="95" t="str">
        <f>IF(Main!O19="","",Main!O19)</f>
        <v>non-allowance</v>
      </c>
      <c r="D34" s="97">
        <f>IF(Main!P19="","",Main!P19)</f>
        <v>0</v>
      </c>
      <c r="F34" s="101" t="str">
        <f>IF(Main!W37="","",Main!W37)</f>
        <v/>
      </c>
      <c r="G34" s="104" t="str">
        <f>IF(Main!X37="","",Main!X37)</f>
        <v/>
      </c>
      <c r="H34" s="12" t="str">
        <f>IF(Main!Y37="","",Main!Y37)</f>
        <v/>
      </c>
      <c r="J34" s="201" t="str">
        <f>IF(I5&gt;1,AF31,"")</f>
        <v/>
      </c>
      <c r="K34" s="201"/>
      <c r="L34" s="201"/>
      <c r="P34" s="110"/>
      <c r="Q34" s="110"/>
      <c r="R34" s="110"/>
      <c r="S34" s="110"/>
      <c r="T34" s="110"/>
    </row>
    <row r="35" spans="2:20" ht="17.399999999999999" thickTop="1" thickBot="1" x14ac:dyDescent="0.35">
      <c r="B35" s="48" t="e">
        <f>IF(Main!N20="","",Main!N20)</f>
        <v>#DIV/0!</v>
      </c>
      <c r="C35" s="95" t="str">
        <f>IF(Main!O20="","",Main!O20)</f>
        <v>break &amp; lunch</v>
      </c>
      <c r="D35" s="97">
        <f>IF(Main!P20="","",Main!P20)</f>
        <v>4.1666666666666664E-2</v>
      </c>
      <c r="F35" s="101" t="str">
        <f>IF(Main!W38="","",Main!W38)</f>
        <v/>
      </c>
      <c r="G35" s="104" t="str">
        <f>IF(Main!X38="","",Main!X38)</f>
        <v/>
      </c>
      <c r="H35" s="12" t="str">
        <f>IF(Main!Y38="","",Main!Y38)</f>
        <v/>
      </c>
      <c r="J35" s="201"/>
      <c r="K35" s="201"/>
      <c r="L35" s="201"/>
      <c r="P35" s="110"/>
      <c r="Q35" s="110"/>
      <c r="R35" s="110"/>
      <c r="S35" s="110"/>
      <c r="T35" s="110"/>
    </row>
    <row r="36" spans="2:20" ht="17.25" customHeight="1" thickTop="1" thickBot="1" x14ac:dyDescent="0.35">
      <c r="B36" s="84"/>
      <c r="C36" s="80"/>
      <c r="D36" s="92"/>
      <c r="F36" s="101" t="str">
        <f>IF(Main!W39="","",Main!W39)</f>
        <v/>
      </c>
      <c r="G36" s="104" t="str">
        <f>IF(Main!X39="","",Main!X39)</f>
        <v/>
      </c>
      <c r="H36" s="12" t="str">
        <f>IF(Main!Y39="","",Main!Y39)</f>
        <v/>
      </c>
      <c r="J36" s="201"/>
      <c r="K36" s="201"/>
      <c r="L36" s="201"/>
    </row>
    <row r="37" spans="2:20" ht="16.95" customHeight="1" thickTop="1" thickBot="1" x14ac:dyDescent="0.35">
      <c r="B37" s="111" t="e">
        <f>IF(Main!N21="","",Main!N21)</f>
        <v>#DIV/0!</v>
      </c>
      <c r="C37" s="95" t="s">
        <v>57</v>
      </c>
      <c r="D37" s="12">
        <f>IF(Main!P21="","",Main!P21)</f>
        <v>4.1666666666666664E-2</v>
      </c>
      <c r="F37" s="101" t="str">
        <f>IF(Main!W40="","",Main!W40)</f>
        <v/>
      </c>
      <c r="G37" s="104" t="str">
        <f>IF(Main!X40="","",Main!X40)</f>
        <v/>
      </c>
      <c r="H37" s="12" t="str">
        <f>IF(Main!Y40="","",Main!Y40)</f>
        <v/>
      </c>
      <c r="J37" s="201"/>
      <c r="K37" s="201"/>
      <c r="L37" s="201"/>
    </row>
    <row r="38" spans="2:20" ht="17.399999999999999" thickTop="1" thickBot="1" x14ac:dyDescent="0.35">
      <c r="B38" s="111" t="e">
        <f>1-B37</f>
        <v>#DIV/0!</v>
      </c>
      <c r="C38" s="95" t="s">
        <v>56</v>
      </c>
      <c r="D38" s="12">
        <f>D23-D37</f>
        <v>-4.1666666666666664E-2</v>
      </c>
      <c r="F38" s="101" t="str">
        <f>IF(Main!W41="","",Main!W41)</f>
        <v/>
      </c>
      <c r="G38" s="104" t="str">
        <f>IF(Main!X41="","",Main!X41)</f>
        <v/>
      </c>
      <c r="H38" s="12" t="str">
        <f>IF(Main!Y41="","",Main!Y41)</f>
        <v/>
      </c>
      <c r="J38" s="201"/>
      <c r="K38" s="201"/>
      <c r="L38" s="201"/>
      <c r="Q38" s="17"/>
    </row>
    <row r="39" spans="2:20" ht="17.399999999999999" thickTop="1" thickBot="1" x14ac:dyDescent="0.35">
      <c r="B39" s="96"/>
      <c r="C39" s="96"/>
      <c r="D39" s="96"/>
      <c r="F39" s="101" t="str">
        <f>IF(Main!W42="","",Main!W42)</f>
        <v/>
      </c>
      <c r="G39" s="104" t="str">
        <f>IF(Main!X42="","",Main!X42)</f>
        <v/>
      </c>
      <c r="H39" s="12" t="str">
        <f>IF(Main!Y42="","",Main!Y42)</f>
        <v/>
      </c>
      <c r="J39" s="201"/>
      <c r="K39" s="201"/>
      <c r="L39" s="201"/>
      <c r="Q39" s="17"/>
    </row>
    <row r="40" spans="2:20" ht="17.399999999999999" thickTop="1" thickBot="1" x14ac:dyDescent="0.35">
      <c r="F40" s="101" t="str">
        <f>IF(Main!W43="","",Main!W43)</f>
        <v/>
      </c>
      <c r="G40" s="104" t="str">
        <f>IF(Main!X43="","",Main!X43)</f>
        <v/>
      </c>
      <c r="H40" s="12" t="str">
        <f>IF(Main!Y43="","",Main!Y43)</f>
        <v/>
      </c>
      <c r="J40" s="201"/>
      <c r="K40" s="201"/>
      <c r="L40" s="201"/>
      <c r="Q40" s="17"/>
    </row>
    <row r="41" spans="2:20" ht="17.399999999999999" thickTop="1" thickBot="1" x14ac:dyDescent="0.35">
      <c r="F41" s="101" t="str">
        <f>IF(Main!W44="","",Main!W44)</f>
        <v/>
      </c>
      <c r="G41" s="104" t="str">
        <f>IF(Main!X44="","",Main!X44)</f>
        <v/>
      </c>
      <c r="H41" s="12" t="str">
        <f>IF(Main!Y44="","",Main!Y44)</f>
        <v/>
      </c>
      <c r="J41" s="201"/>
      <c r="K41" s="201"/>
      <c r="L41" s="201"/>
      <c r="Q41" s="17"/>
    </row>
    <row r="42" spans="2:20" ht="17.399999999999999" thickTop="1" thickBot="1" x14ac:dyDescent="0.35">
      <c r="F42" s="101" t="str">
        <f>IF(Main!W45="","",Main!W45)</f>
        <v/>
      </c>
      <c r="G42" s="104" t="str">
        <f>IF(Main!X45="","",Main!X45)</f>
        <v/>
      </c>
      <c r="H42" s="12" t="str">
        <f>IF(Main!Y45="","",Main!Y45)</f>
        <v/>
      </c>
      <c r="J42" s="201"/>
      <c r="K42" s="201"/>
      <c r="L42" s="201"/>
      <c r="Q42" s="17"/>
    </row>
    <row r="43" spans="2:20" ht="17.399999999999999" thickTop="1" thickBot="1" x14ac:dyDescent="0.35">
      <c r="F43" s="101" t="str">
        <f>IF(Main!W46="","",Main!W46)</f>
        <v/>
      </c>
      <c r="G43" s="104" t="str">
        <f>IF(Main!X46="","",Main!X46)</f>
        <v/>
      </c>
      <c r="H43" s="12" t="str">
        <f>IF(Main!Y46="","",Main!Y46)</f>
        <v/>
      </c>
      <c r="J43" s="201"/>
      <c r="K43" s="201"/>
      <c r="L43" s="201"/>
      <c r="Q43" s="17"/>
    </row>
    <row r="44" spans="2:20" ht="17.399999999999999" thickTop="1" thickBot="1" x14ac:dyDescent="0.35">
      <c r="F44" s="101" t="str">
        <f>IF(Main!W47="","",Main!W47)</f>
        <v/>
      </c>
      <c r="G44" s="67" t="str">
        <f>IF(Main!X47="","",Main!X47)</f>
        <v/>
      </c>
      <c r="H44" s="12" t="str">
        <f>IF(Main!Y47="","",Main!Y47)</f>
        <v/>
      </c>
      <c r="J44" s="201"/>
      <c r="K44" s="201"/>
      <c r="L44" s="201"/>
      <c r="Q44" s="17"/>
    </row>
    <row r="45" spans="2:20" ht="16.8" thickTop="1" x14ac:dyDescent="0.3">
      <c r="F45" s="101" t="str">
        <f>IF(Main!W48="","",Main!W48)</f>
        <v/>
      </c>
      <c r="G45" s="67" t="str">
        <f>IF(Main!X48="","",Main!X48)</f>
        <v/>
      </c>
      <c r="H45" s="12" t="str">
        <f>IF(Main!Y48="","",Main!Y48)</f>
        <v/>
      </c>
      <c r="Q45" s="17"/>
    </row>
    <row r="46" spans="2:20" x14ac:dyDescent="0.3">
      <c r="F46" s="102"/>
      <c r="G46" s="95"/>
      <c r="Q46" s="17"/>
    </row>
    <row r="47" spans="2:20" x14ac:dyDescent="0.3">
      <c r="F47" s="102"/>
      <c r="G47" s="95"/>
      <c r="Q47" s="17"/>
    </row>
    <row r="48" spans="2:20" x14ac:dyDescent="0.3">
      <c r="F48" s="102"/>
      <c r="G48" s="95"/>
      <c r="Q48" s="17"/>
    </row>
    <row r="49" spans="6:17" x14ac:dyDescent="0.3">
      <c r="F49" s="102"/>
      <c r="G49" s="95"/>
      <c r="Q49" s="17"/>
    </row>
    <row r="50" spans="6:17" x14ac:dyDescent="0.3">
      <c r="F50" s="102"/>
      <c r="G50" s="95"/>
    </row>
    <row r="51" spans="6:17" x14ac:dyDescent="0.3">
      <c r="G51" s="95"/>
    </row>
    <row r="54" spans="6:17" x14ac:dyDescent="0.3">
      <c r="M54" s="107"/>
    </row>
    <row r="55" spans="6:17" x14ac:dyDescent="0.3">
      <c r="M55" s="107"/>
    </row>
  </sheetData>
  <mergeCells count="14">
    <mergeCell ref="J34:L44"/>
    <mergeCell ref="J32:K32"/>
    <mergeCell ref="B2:H2"/>
    <mergeCell ref="J6:L16"/>
    <mergeCell ref="B32:D32"/>
    <mergeCell ref="B25:D25"/>
    <mergeCell ref="C26:D26"/>
    <mergeCell ref="B21:D21"/>
    <mergeCell ref="J21:K21"/>
    <mergeCell ref="F21:H21"/>
    <mergeCell ref="B29:B30"/>
    <mergeCell ref="C29:C30"/>
    <mergeCell ref="D29:D30"/>
    <mergeCell ref="J4:K4"/>
  </mergeCells>
  <phoneticPr fontId="30" type="noConversion"/>
  <conditionalFormatting sqref="J23:K28 L23:L29 AG4 P21 J6">
    <cfRule type="notContainsBlanks" dxfId="68" priority="345">
      <formula>LEN(TRIM(J4))&gt;0</formula>
    </cfRule>
  </conditionalFormatting>
  <conditionalFormatting sqref="B18">
    <cfRule type="notContainsBlanks" dxfId="67" priority="147">
      <formula>LEN(TRIM(B18))&gt;0</formula>
    </cfRule>
  </conditionalFormatting>
  <conditionalFormatting sqref="A19">
    <cfRule type="notContainsBlanks" dxfId="66" priority="141">
      <formula>LEN(TRIM(A19))&gt;0</formula>
    </cfRule>
  </conditionalFormatting>
  <conditionalFormatting sqref="P21">
    <cfRule type="notContainsBlanks" dxfId="65" priority="129">
      <formula>LEN(TRIM(P21))&gt;0</formula>
    </cfRule>
  </conditionalFormatting>
  <conditionalFormatting sqref="J28:J31 AF4 AG8 L28:L29 L24 L26 AA19:AA22 AF9:AF18">
    <cfRule type="containsBlanks" dxfId="64" priority="124">
      <formula>LEN(TRIM(J4))=0</formula>
    </cfRule>
    <cfRule type="notContainsBlanks" dxfId="63" priority="125">
      <formula>LEN(TRIM(J4))&gt;0</formula>
    </cfRule>
  </conditionalFormatting>
  <conditionalFormatting sqref="J6">
    <cfRule type="notContainsBlanks" dxfId="62" priority="123">
      <formula>LEN(TRIM(J6))&gt;0</formula>
    </cfRule>
  </conditionalFormatting>
  <conditionalFormatting sqref="K28:K29">
    <cfRule type="containsBlanks" dxfId="61" priority="120">
      <formula>LEN(TRIM(K28))=0</formula>
    </cfRule>
    <cfRule type="notContainsBlanks" dxfId="60" priority="121">
      <formula>LEN(TRIM(K28))&gt;0</formula>
    </cfRule>
  </conditionalFormatting>
  <conditionalFormatting sqref="R37:XFD49 A21:K21 A22:I25 Q50:XFD54 AA21:AA22 M54:O54 Z21:Z26 L21:L31 U22:XFD35 A32:I1048576 A30:A31 E31:I31 J62:XFD1048576 M55:XFD61 P36:XFD36 J22:K31 P21:XFD21 Q2:XFD3 A3:L3 A20:XFD20 Q18:XFD19 A18:L19 A2:B2 I2:L2 B5:L17 B4:J4 L4 E30:H30 A26:H29 I26:I30 W4:XFD17 AF10:AF18 J34:L61">
    <cfRule type="containsBlanks" dxfId="59" priority="35">
      <formula>LEN(TRIM(A2))=0</formula>
    </cfRule>
    <cfRule type="containsBlanks" dxfId="58" priority="113">
      <formula>LEN(TRIM(A2))=0</formula>
    </cfRule>
  </conditionalFormatting>
  <conditionalFormatting sqref="B2 R37:XFD39 F22 L24 L26 W4:XFD17 I4:J17 AA19:AA22 I2:L2 Q2:XFD3 A3:L3 AF9:AF18">
    <cfRule type="containsBlanks" dxfId="57" priority="112">
      <formula>LEN(TRIM(A2))=0</formula>
    </cfRule>
  </conditionalFormatting>
  <conditionalFormatting sqref="B4 B6:B15">
    <cfRule type="notContainsBlanks" dxfId="56" priority="110">
      <formula>LEN(TRIM(B4))&gt;0</formula>
    </cfRule>
  </conditionalFormatting>
  <conditionalFormatting sqref="C6:D15">
    <cfRule type="cellIs" dxfId="55" priority="107" operator="greaterThan">
      <formula>0</formula>
    </cfRule>
  </conditionalFormatting>
  <conditionalFormatting sqref="C6:C15">
    <cfRule type="cellIs" dxfId="54" priority="106" operator="greaterThan">
      <formula>0</formula>
    </cfRule>
  </conditionalFormatting>
  <conditionalFormatting sqref="B17">
    <cfRule type="notContainsBlanks" dxfId="53" priority="105">
      <formula>LEN(TRIM(B17))&gt;0</formula>
    </cfRule>
  </conditionalFormatting>
  <conditionalFormatting sqref="C17:D17">
    <cfRule type="cellIs" dxfId="52" priority="104" operator="greaterThan">
      <formula>0</formula>
    </cfRule>
  </conditionalFormatting>
  <conditionalFormatting sqref="C17">
    <cfRule type="cellIs" dxfId="51" priority="103" operator="greaterThan">
      <formula>0</formula>
    </cfRule>
  </conditionalFormatting>
  <conditionalFormatting sqref="C16:D16">
    <cfRule type="cellIs" dxfId="50" priority="102" operator="greaterThan">
      <formula>0</formula>
    </cfRule>
  </conditionalFormatting>
  <conditionalFormatting sqref="C16">
    <cfRule type="cellIs" dxfId="49" priority="101" operator="greaterThan">
      <formula>0</formula>
    </cfRule>
  </conditionalFormatting>
  <conditionalFormatting sqref="B16">
    <cfRule type="notContainsBlanks" dxfId="48" priority="100">
      <formula>LEN(TRIM(B16))&gt;0</formula>
    </cfRule>
  </conditionalFormatting>
  <conditionalFormatting sqref="F5:F17">
    <cfRule type="dataBar" priority="9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{BAC079C3-F4D4-4C2B-B8C3-04C20FD429CA}</x14:id>
        </ext>
      </extLst>
    </cfRule>
  </conditionalFormatting>
  <conditionalFormatting sqref="B21">
    <cfRule type="containsBlanks" dxfId="47" priority="72">
      <formula>LEN(TRIM(B21))=0</formula>
    </cfRule>
  </conditionalFormatting>
  <conditionalFormatting sqref="J24:K24">
    <cfRule type="containsBlanks" dxfId="46" priority="66">
      <formula>LEN(TRIM(J24))=0</formula>
    </cfRule>
  </conditionalFormatting>
  <conditionalFormatting sqref="J24:K24">
    <cfRule type="containsBlanks" dxfId="45" priority="64">
      <formula>LEN(TRIM(J24))=0</formula>
    </cfRule>
    <cfRule type="notContainsBlanks" dxfId="44" priority="65">
      <formula>LEN(TRIM(J24))&gt;0</formula>
    </cfRule>
  </conditionalFormatting>
  <conditionalFormatting sqref="J26:K26">
    <cfRule type="containsBlanks" dxfId="43" priority="63">
      <formula>LEN(TRIM(J26))=0</formula>
    </cfRule>
  </conditionalFormatting>
  <conditionalFormatting sqref="J26:K26">
    <cfRule type="containsBlanks" dxfId="42" priority="61">
      <formula>LEN(TRIM(J26))=0</formula>
    </cfRule>
    <cfRule type="notContainsBlanks" dxfId="41" priority="62">
      <formula>LEN(TRIM(J26))&gt;0</formula>
    </cfRule>
  </conditionalFormatting>
  <conditionalFormatting sqref="J29:K29">
    <cfRule type="notContainsBlanks" dxfId="40" priority="60">
      <formula>LEN(TRIM(J29))&gt;0</formula>
    </cfRule>
  </conditionalFormatting>
  <conditionalFormatting sqref="G6:G17">
    <cfRule type="containsBlanks" dxfId="39" priority="59">
      <formula>LEN(TRIM(G6))=0</formula>
    </cfRule>
  </conditionalFormatting>
  <conditionalFormatting sqref="G6:G17">
    <cfRule type="cellIs" dxfId="38" priority="58" operator="greaterThan">
      <formula>0</formula>
    </cfRule>
  </conditionalFormatting>
  <conditionalFormatting sqref="B27">
    <cfRule type="containsBlanks" dxfId="37" priority="46">
      <formula>LEN(TRIM(B27))=0</formula>
    </cfRule>
    <cfRule type="notContainsBlanks" dxfId="36" priority="47">
      <formula>LEN(TRIM(B27))&gt;0</formula>
    </cfRule>
  </conditionalFormatting>
  <conditionalFormatting sqref="B37:B38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{3BEC2F02-991E-4275-9CAA-13F00DF3D720}</x14:id>
        </ext>
      </extLst>
    </cfRule>
  </conditionalFormatting>
  <conditionalFormatting sqref="B33:B36 B29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{FD1A30CD-70DF-418C-86DF-D1025B1612E5}</x14:id>
        </ext>
      </extLst>
    </cfRule>
  </conditionalFormatting>
  <conditionalFormatting sqref="B23">
    <cfRule type="containsBlanks" dxfId="35" priority="42">
      <formula>LEN(TRIM(B23))=0</formula>
    </cfRule>
    <cfRule type="notContainsBlanks" dxfId="34" priority="43">
      <formula>LEN(TRIM(B23))&gt;0</formula>
    </cfRule>
  </conditionalFormatting>
  <conditionalFormatting sqref="C23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{9F0C6678-7986-4EE0-A59E-81129AC0C5D1}</x14:id>
        </ext>
      </extLst>
    </cfRule>
  </conditionalFormatting>
  <conditionalFormatting sqref="B24:D24">
    <cfRule type="containsBlanks" dxfId="33" priority="41">
      <formula>LEN(TRIM(B24))=0</formula>
    </cfRule>
  </conditionalFormatting>
  <conditionalFormatting sqref="J21">
    <cfRule type="containsBlanks" dxfId="32" priority="40">
      <formula>LEN(TRIM(J21))=0</formula>
    </cfRule>
  </conditionalFormatting>
  <conditionalFormatting sqref="F21">
    <cfRule type="containsBlanks" dxfId="31" priority="39">
      <formula>LEN(TRIM(F21))=0</formula>
    </cfRule>
  </conditionalFormatting>
  <conditionalFormatting sqref="F25:H45">
    <cfRule type="containsBlanks" dxfId="30" priority="37">
      <formula>LEN(TRIM(F25))=0</formula>
    </cfRule>
    <cfRule type="notContainsBlanks" dxfId="29" priority="38">
      <formula>LEN(TRIM(F25))&gt;0</formula>
    </cfRule>
  </conditionalFormatting>
  <conditionalFormatting sqref="F23">
    <cfRule type="containsBlanks" dxfId="28" priority="33">
      <formula>LEN(TRIM(F23))=0</formula>
    </cfRule>
    <cfRule type="notContainsBlanks" dxfId="27" priority="34">
      <formula>LEN(TRIM(F23))&gt;0</formula>
    </cfRule>
  </conditionalFormatting>
  <conditionalFormatting sqref="AF6">
    <cfRule type="containsBlanks" dxfId="26" priority="31">
      <formula>LEN(TRIM(AF6))=0</formula>
    </cfRule>
    <cfRule type="notContainsBlanks" dxfId="25" priority="32">
      <formula>LEN(TRIM(AF6))&gt;0</formula>
    </cfRule>
  </conditionalFormatting>
  <conditionalFormatting sqref="AF8">
    <cfRule type="containsBlanks" dxfId="24" priority="29">
      <formula>LEN(TRIM(AF8))=0</formula>
    </cfRule>
    <cfRule type="notContainsBlanks" dxfId="23" priority="30">
      <formula>LEN(TRIM(AF8))&gt;0</formula>
    </cfRule>
  </conditionalFormatting>
  <conditionalFormatting sqref="AG9:AG13">
    <cfRule type="containsBlanks" dxfId="22" priority="27">
      <formula>LEN(TRIM(AG9))=0</formula>
    </cfRule>
    <cfRule type="notContainsBlanks" dxfId="21" priority="28">
      <formula>LEN(TRIM(AG9))&gt;0</formula>
    </cfRule>
  </conditionalFormatting>
  <conditionalFormatting sqref="AG9:AG13">
    <cfRule type="containsBlanks" dxfId="20" priority="24">
      <formula>LEN(TRIM(AG9))=0</formula>
    </cfRule>
    <cfRule type="containsBlanks" dxfId="19" priority="26">
      <formula>LEN(TRIM(AG9))=0</formula>
    </cfRule>
  </conditionalFormatting>
  <conditionalFormatting sqref="AG9:AG13">
    <cfRule type="containsBlanks" dxfId="18" priority="25">
      <formula>LEN(TRIM(AG9))=0</formula>
    </cfRule>
  </conditionalFormatting>
  <conditionalFormatting sqref="AF7">
    <cfRule type="containsBlanks" dxfId="17" priority="22">
      <formula>LEN(TRIM(AF7))=0</formula>
    </cfRule>
    <cfRule type="notContainsBlanks" dxfId="16" priority="23">
      <formula>LEN(TRIM(AF7))&gt;0</formula>
    </cfRule>
  </conditionalFormatting>
  <conditionalFormatting sqref="J4">
    <cfRule type="containsBlanks" dxfId="15" priority="21">
      <formula>LEN(TRIM(J4))=0</formula>
    </cfRule>
  </conditionalFormatting>
  <conditionalFormatting sqref="B31:D31">
    <cfRule type="containsBlanks" dxfId="14" priority="19">
      <formula>LEN(TRIM(B31))=0</formula>
    </cfRule>
    <cfRule type="containsBlanks" dxfId="13" priority="20">
      <formula>LEN(TRIM(B31))=0</formula>
    </cfRule>
  </conditionalFormatting>
  <conditionalFormatting sqref="I5:I17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{BAEA19B3-D171-4DED-AB8C-97D72AA45FDC}</x14:id>
        </ext>
      </extLst>
    </cfRule>
  </conditionalFormatting>
  <conditionalFormatting sqref="J17">
    <cfRule type="notContainsBlanks" dxfId="12" priority="16">
      <formula>LEN(TRIM(J17))&gt;0</formula>
    </cfRule>
  </conditionalFormatting>
  <conditionalFormatting sqref="K30">
    <cfRule type="containsBlanks" dxfId="11" priority="13">
      <formula>LEN(TRIM(K30))=0</formula>
    </cfRule>
    <cfRule type="notContainsBlanks" dxfId="10" priority="14">
      <formula>LEN(TRIM(K30))&gt;0</formula>
    </cfRule>
  </conditionalFormatting>
  <conditionalFormatting sqref="E5:E17 Q18">
    <cfRule type="dataBar" priority="3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{EB61AF31-B911-444F-B0BE-5E5BF1F4F277}</x14:id>
        </ext>
      </extLst>
    </cfRule>
  </conditionalFormatting>
  <conditionalFormatting sqref="H5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{769515D5-DF11-4C44-905B-54EAE5CD1476}</x14:id>
        </ext>
      </extLst>
    </cfRule>
  </conditionalFormatting>
  <conditionalFormatting sqref="I5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{4F799B37-9B29-4790-89F4-B23A124854E2}</x14:id>
        </ext>
      </extLst>
    </cfRule>
  </conditionalFormatting>
  <conditionalFormatting sqref="J34">
    <cfRule type="notContainsBlanks" dxfId="9" priority="10">
      <formula>LEN(TRIM(J34))&gt;0</formula>
    </cfRule>
  </conditionalFormatting>
  <conditionalFormatting sqref="J34">
    <cfRule type="notContainsBlanks" dxfId="8" priority="9">
      <formula>LEN(TRIM(J34))&gt;0</formula>
    </cfRule>
  </conditionalFormatting>
  <conditionalFormatting sqref="J34:J44">
    <cfRule type="containsBlanks" dxfId="7" priority="8">
      <formula>LEN(TRIM(J34))=0</formula>
    </cfRule>
  </conditionalFormatting>
  <conditionalFormatting sqref="J34">
    <cfRule type="notContainsBlanks" dxfId="6" priority="7">
      <formula>LEN(TRIM(J34))&gt;0</formula>
    </cfRule>
  </conditionalFormatting>
  <conditionalFormatting sqref="J34">
    <cfRule type="notContainsBlanks" dxfId="5" priority="6">
      <formula>LEN(TRIM(J34))&gt;0</formula>
    </cfRule>
  </conditionalFormatting>
  <conditionalFormatting sqref="J34:J44">
    <cfRule type="containsBlanks" dxfId="4" priority="5">
      <formula>LEN(TRIM(J34))=0</formula>
    </cfRule>
  </conditionalFormatting>
  <conditionalFormatting sqref="J32">
    <cfRule type="containsBlanks" dxfId="3" priority="2">
      <formula>LEN(TRIM(J32))=0</formula>
    </cfRule>
    <cfRule type="containsBlanks" dxfId="2" priority="4">
      <formula>LEN(TRIM(J32))=0</formula>
    </cfRule>
  </conditionalFormatting>
  <conditionalFormatting sqref="J32">
    <cfRule type="containsBlanks" dxfId="1" priority="3">
      <formula>LEN(TRIM(J32))=0</formula>
    </cfRule>
  </conditionalFormatting>
  <conditionalFormatting sqref="J32">
    <cfRule type="containsBlanks" dxfId="0" priority="1">
      <formula>LEN(TRIM(J32))=0</formula>
    </cfRule>
  </conditionalFormatting>
  <pageMargins left="0.7" right="0.7" top="0.75" bottom="0.75" header="0.3" footer="0.3"/>
  <pageSetup scale="49" orientation="landscape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AC079C3-F4D4-4C2B-B8C3-04C20FD429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F5:F17</xm:sqref>
        </x14:conditionalFormatting>
        <x14:conditionalFormatting xmlns:xm="http://schemas.microsoft.com/office/excel/2006/main">
          <x14:cfRule type="dataBar" id="{3BEC2F02-991E-4275-9CAA-13F00DF3D72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B37:B38</xm:sqref>
        </x14:conditionalFormatting>
        <x14:conditionalFormatting xmlns:xm="http://schemas.microsoft.com/office/excel/2006/main">
          <x14:cfRule type="dataBar" id="{FD1A30CD-70DF-418C-86DF-D1025B1612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B33:B36 B29</xm:sqref>
        </x14:conditionalFormatting>
        <x14:conditionalFormatting xmlns:xm="http://schemas.microsoft.com/office/excel/2006/main">
          <x14:cfRule type="dataBar" id="{9F0C6678-7986-4EE0-A59E-81129AC0C5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C23</xm:sqref>
        </x14:conditionalFormatting>
        <x14:conditionalFormatting xmlns:xm="http://schemas.microsoft.com/office/excel/2006/main">
          <x14:cfRule type="dataBar" id="{BAEA19B3-D171-4DED-AB8C-97D72AA45FD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I5:I17</xm:sqref>
        </x14:conditionalFormatting>
        <x14:conditionalFormatting xmlns:xm="http://schemas.microsoft.com/office/excel/2006/main">
          <x14:cfRule type="dataBar" id="{EB61AF31-B911-444F-B0BE-5E5BF1F4F2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E5:E17 Q18</xm:sqref>
        </x14:conditionalFormatting>
        <x14:conditionalFormatting xmlns:xm="http://schemas.microsoft.com/office/excel/2006/main">
          <x14:cfRule type="dataBar" id="{769515D5-DF11-4C44-905B-54EAE5CD147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H5</xm:sqref>
        </x14:conditionalFormatting>
        <x14:conditionalFormatting xmlns:xm="http://schemas.microsoft.com/office/excel/2006/main">
          <x14:cfRule type="dataBar" id="{4F799B37-9B29-4790-89F4-B23A124854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</vt:lpstr>
      <vt:lpstr>DATA</vt:lpstr>
      <vt:lpstr>pdcount</vt:lpstr>
      <vt:lpstr>brief</vt:lpstr>
      <vt:lpstr>brief!Print_Area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Simmons, Charles</dc:creator>
  <cp:lastModifiedBy>Simmons, Charles</cp:lastModifiedBy>
  <cp:lastPrinted>2026-05-07T19:03:54Z</cp:lastPrinted>
  <dcterms:created xsi:type="dcterms:W3CDTF">2023-12-12T14:29:04Z</dcterms:created>
  <dcterms:modified xsi:type="dcterms:W3CDTF">2026-05-15T13:58:13Z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29eed6f-34eb-4453-9f97-09510b9b219f_Enabled">
    <vt:lpwstr>true</vt:lpwstr>
  </property>
  <property fmtid="{D5CDD505-2E9C-101B-9397-08002B2CF9AE}" pid="3" name="MSIP_Label_929eed6f-34eb-4453-9f97-09510b9b219f_SetDate">
    <vt:lpwstr>2024-02-12T17:11:17Z</vt:lpwstr>
  </property>
  <property fmtid="{D5CDD505-2E9C-101B-9397-08002B2CF9AE}" pid="4" name="MSIP_Label_929eed6f-34eb-4453-9f97-09510b9b219f_Method">
    <vt:lpwstr>Standard</vt:lpwstr>
  </property>
  <property fmtid="{D5CDD505-2E9C-101B-9397-08002B2CF9AE}" pid="5" name="MSIP_Label_929eed6f-34eb-4453-9f97-09510b9b219f_Name">
    <vt:lpwstr>Amazon Pending_Classification</vt:lpwstr>
  </property>
  <property fmtid="{D5CDD505-2E9C-101B-9397-08002B2CF9AE}" pid="6" name="MSIP_Label_929eed6f-34eb-4453-9f97-09510b9b219f_SiteId">
    <vt:lpwstr>5280104a-472d-4538-9ccf-1e1d0efe8b1b</vt:lpwstr>
  </property>
  <property fmtid="{D5CDD505-2E9C-101B-9397-08002B2CF9AE}" pid="7" name="MSIP_Label_929eed6f-34eb-4453-9f97-09510b9b219f_ActionId">
    <vt:lpwstr>b03d9e4b-4bb6-4ab0-ae11-bf84f99bd362</vt:lpwstr>
  </property>
  <property fmtid="{D5CDD505-2E9C-101B-9397-08002B2CF9AE}" pid="8" name="MSIP_Label_929eed6f-34eb-4453-9f97-09510b9b219f_ContentBits">
    <vt:lpwstr>0</vt:lpwstr>
  </property>
</Properties>
</file>