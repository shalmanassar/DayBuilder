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filterPrivacy="1" codeName="ThisWorkbook"/>
  <xr:revisionPtr revIDLastSave="0" documentId="13_ncr:1_{D63ED845-E6D9-584F-8118-D72AE06A4D49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Total" sheetId="34" r:id="rId1"/>
    <sheet name="Bashar" sheetId="38" r:id="rId2"/>
    <sheet name="Charles" sheetId="40" r:id="rId3"/>
    <sheet name="Darius" sheetId="36" r:id="rId4"/>
    <sheet name="Doug" sheetId="39" r:id="rId5"/>
    <sheet name="George" sheetId="37" r:id="rId6"/>
    <sheet name="John" sheetId="35" r:id="rId7"/>
    <sheet name="Michael" sheetId="41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39" l="1"/>
  <c r="C11" i="35"/>
  <c r="D15" i="38"/>
  <c r="C12" i="36"/>
  <c r="C19" i="37"/>
  <c r="B28" i="37"/>
  <c r="B34" i="35"/>
  <c r="B32" i="35"/>
  <c r="B30" i="35"/>
  <c r="B28" i="35"/>
  <c r="B26" i="35"/>
  <c r="F23" i="35"/>
  <c r="E23" i="35"/>
  <c r="D23" i="35"/>
  <c r="C23" i="35"/>
  <c r="B23" i="35"/>
  <c r="F22" i="35"/>
  <c r="E22" i="35"/>
  <c r="D22" i="35"/>
  <c r="C22" i="35"/>
  <c r="B22" i="35"/>
  <c r="F19" i="35"/>
  <c r="E19" i="35"/>
  <c r="D19" i="35"/>
  <c r="C19" i="35"/>
  <c r="B19" i="35"/>
  <c r="F18" i="35"/>
  <c r="E18" i="35"/>
  <c r="D18" i="35"/>
  <c r="C18" i="35"/>
  <c r="B18" i="35"/>
  <c r="F17" i="35"/>
  <c r="E17" i="35"/>
  <c r="D17" i="35"/>
  <c r="C17" i="35"/>
  <c r="B17" i="35"/>
  <c r="F16" i="35"/>
  <c r="E16" i="35"/>
  <c r="D16" i="35"/>
  <c r="C16" i="35"/>
  <c r="B16" i="35"/>
  <c r="F15" i="35"/>
  <c r="E15" i="35"/>
  <c r="D15" i="35"/>
  <c r="C15" i="35"/>
  <c r="B15" i="35"/>
  <c r="F14" i="35"/>
  <c r="E14" i="35"/>
  <c r="D14" i="35"/>
  <c r="C14" i="35"/>
  <c r="B14" i="35"/>
  <c r="F13" i="35"/>
  <c r="E13" i="35"/>
  <c r="D13" i="35"/>
  <c r="C13" i="35"/>
  <c r="B13" i="35"/>
  <c r="F12" i="35"/>
  <c r="E12" i="35"/>
  <c r="D12" i="35"/>
  <c r="C12" i="35"/>
  <c r="B12" i="35"/>
  <c r="F11" i="35"/>
  <c r="E11" i="35"/>
  <c r="D11" i="35"/>
  <c r="B11" i="35"/>
  <c r="F10" i="35"/>
  <c r="E10" i="35"/>
  <c r="D10" i="35"/>
  <c r="C10" i="35"/>
  <c r="B10" i="35"/>
  <c r="F9" i="35"/>
  <c r="E9" i="35"/>
  <c r="D9" i="35"/>
  <c r="C9" i="35"/>
  <c r="B9" i="35"/>
  <c r="F8" i="35"/>
  <c r="E8" i="35"/>
  <c r="D8" i="35"/>
  <c r="C8" i="35"/>
  <c r="B8" i="35"/>
  <c r="F7" i="35"/>
  <c r="E7" i="35"/>
  <c r="D7" i="35"/>
  <c r="C7" i="35"/>
  <c r="B7" i="35"/>
  <c r="B34" i="41" l="1"/>
  <c r="B32" i="41"/>
  <c r="B30" i="41"/>
  <c r="B28" i="41"/>
  <c r="B26" i="41"/>
  <c r="F23" i="41"/>
  <c r="E23" i="41"/>
  <c r="D23" i="41"/>
  <c r="C23" i="41"/>
  <c r="B23" i="41"/>
  <c r="F22" i="41"/>
  <c r="E22" i="41"/>
  <c r="D22" i="41"/>
  <c r="C22" i="41"/>
  <c r="B22" i="41"/>
  <c r="F19" i="41"/>
  <c r="E19" i="41"/>
  <c r="D19" i="41"/>
  <c r="C19" i="41"/>
  <c r="B19" i="41"/>
  <c r="F18" i="41"/>
  <c r="E18" i="41"/>
  <c r="D18" i="41"/>
  <c r="C18" i="41"/>
  <c r="B18" i="41"/>
  <c r="F17" i="41"/>
  <c r="E17" i="41"/>
  <c r="D17" i="41"/>
  <c r="C17" i="41"/>
  <c r="B17" i="41"/>
  <c r="F16" i="41"/>
  <c r="E16" i="41"/>
  <c r="D16" i="41"/>
  <c r="C16" i="41"/>
  <c r="B16" i="41"/>
  <c r="F15" i="41"/>
  <c r="E15" i="41"/>
  <c r="D15" i="41"/>
  <c r="C15" i="41"/>
  <c r="B15" i="41"/>
  <c r="F14" i="41"/>
  <c r="E14" i="41"/>
  <c r="D14" i="41"/>
  <c r="C14" i="41"/>
  <c r="B14" i="41"/>
  <c r="F13" i="41"/>
  <c r="E13" i="41"/>
  <c r="D13" i="41"/>
  <c r="C13" i="41"/>
  <c r="B13" i="41"/>
  <c r="F12" i="41"/>
  <c r="E12" i="41"/>
  <c r="D12" i="41"/>
  <c r="C12" i="41"/>
  <c r="B12" i="41"/>
  <c r="F11" i="41"/>
  <c r="E11" i="41"/>
  <c r="D11" i="41"/>
  <c r="C11" i="41"/>
  <c r="B11" i="41"/>
  <c r="F10" i="41"/>
  <c r="E10" i="41"/>
  <c r="D10" i="41"/>
  <c r="C10" i="41"/>
  <c r="B10" i="41"/>
  <c r="F9" i="41"/>
  <c r="E9" i="41"/>
  <c r="D9" i="41"/>
  <c r="C9" i="41"/>
  <c r="B9" i="41"/>
  <c r="F8" i="41"/>
  <c r="E8" i="41"/>
  <c r="D8" i="41"/>
  <c r="C8" i="41"/>
  <c r="B8" i="41"/>
  <c r="F7" i="41"/>
  <c r="E7" i="41"/>
  <c r="D7" i="41"/>
  <c r="C7" i="41"/>
  <c r="B7" i="41"/>
  <c r="B28" i="38"/>
  <c r="B30" i="38"/>
  <c r="B32" i="38"/>
  <c r="B34" i="38"/>
  <c r="B26" i="38"/>
  <c r="B23" i="38"/>
  <c r="C23" i="38"/>
  <c r="D23" i="38"/>
  <c r="E23" i="38"/>
  <c r="F23" i="38"/>
  <c r="C22" i="38"/>
  <c r="D22" i="38"/>
  <c r="E22" i="38"/>
  <c r="F22" i="38"/>
  <c r="B22" i="38"/>
  <c r="B8" i="38"/>
  <c r="C8" i="38"/>
  <c r="D8" i="38"/>
  <c r="E8" i="38"/>
  <c r="F8" i="38"/>
  <c r="B9" i="38"/>
  <c r="C9" i="38"/>
  <c r="D9" i="38"/>
  <c r="E9" i="38"/>
  <c r="F9" i="38"/>
  <c r="B10" i="38"/>
  <c r="C10" i="38"/>
  <c r="D10" i="38"/>
  <c r="E10" i="38"/>
  <c r="F10" i="38"/>
  <c r="B11" i="38"/>
  <c r="C11" i="38"/>
  <c r="D11" i="38"/>
  <c r="E11" i="38"/>
  <c r="F11" i="38"/>
  <c r="B12" i="38"/>
  <c r="C12" i="38"/>
  <c r="D12" i="38"/>
  <c r="E12" i="38"/>
  <c r="F12" i="38"/>
  <c r="B13" i="38"/>
  <c r="C13" i="38"/>
  <c r="D13" i="38"/>
  <c r="E13" i="38"/>
  <c r="F13" i="38"/>
  <c r="B14" i="38"/>
  <c r="C14" i="38"/>
  <c r="D14" i="38"/>
  <c r="E14" i="38"/>
  <c r="F14" i="38"/>
  <c r="B15" i="38"/>
  <c r="C15" i="38"/>
  <c r="E15" i="38"/>
  <c r="F15" i="38"/>
  <c r="B16" i="38"/>
  <c r="C16" i="38"/>
  <c r="D16" i="38"/>
  <c r="E16" i="38"/>
  <c r="F16" i="38"/>
  <c r="B17" i="38"/>
  <c r="C17" i="38"/>
  <c r="D17" i="38"/>
  <c r="E17" i="38"/>
  <c r="F17" i="38"/>
  <c r="B18" i="38"/>
  <c r="C18" i="38"/>
  <c r="D18" i="38"/>
  <c r="E18" i="38"/>
  <c r="F18" i="38"/>
  <c r="B19" i="38"/>
  <c r="C19" i="38"/>
  <c r="D19" i="38"/>
  <c r="E19" i="38"/>
  <c r="F19" i="38"/>
  <c r="C7" i="38"/>
  <c r="D7" i="38"/>
  <c r="E7" i="38"/>
  <c r="F7" i="38"/>
  <c r="B7" i="38"/>
  <c r="G19" i="41" l="1"/>
  <c r="G15" i="41"/>
  <c r="G16" i="41"/>
  <c r="G17" i="41"/>
  <c r="G11" i="41"/>
  <c r="G18" i="41"/>
  <c r="G8" i="41"/>
  <c r="G9" i="41"/>
  <c r="G14" i="41"/>
  <c r="G12" i="41"/>
  <c r="B20" i="41"/>
  <c r="G13" i="41"/>
  <c r="F20" i="41"/>
  <c r="G7" i="41"/>
  <c r="G10" i="41"/>
  <c r="D20" i="41"/>
  <c r="E20" i="41"/>
  <c r="C20" i="41"/>
  <c r="B28" i="40"/>
  <c r="B30" i="40"/>
  <c r="B32" i="40"/>
  <c r="B34" i="40"/>
  <c r="B26" i="40"/>
  <c r="B23" i="40"/>
  <c r="C23" i="40"/>
  <c r="D23" i="40"/>
  <c r="E23" i="40"/>
  <c r="F23" i="40"/>
  <c r="C22" i="40"/>
  <c r="D22" i="40"/>
  <c r="E22" i="40"/>
  <c r="F22" i="40"/>
  <c r="B22" i="40"/>
  <c r="B8" i="40"/>
  <c r="C8" i="40"/>
  <c r="D8" i="40"/>
  <c r="E8" i="40"/>
  <c r="F8" i="40"/>
  <c r="B9" i="40"/>
  <c r="C9" i="40"/>
  <c r="D9" i="40"/>
  <c r="E9" i="40"/>
  <c r="F9" i="40"/>
  <c r="B10" i="40"/>
  <c r="C10" i="40"/>
  <c r="D10" i="40"/>
  <c r="E10" i="40"/>
  <c r="F10" i="40"/>
  <c r="B11" i="40"/>
  <c r="C11" i="40"/>
  <c r="D11" i="40"/>
  <c r="E11" i="40"/>
  <c r="F11" i="40"/>
  <c r="B12" i="40"/>
  <c r="C12" i="40"/>
  <c r="D12" i="40"/>
  <c r="E12" i="40"/>
  <c r="F12" i="40"/>
  <c r="B13" i="40"/>
  <c r="C13" i="40"/>
  <c r="D13" i="40"/>
  <c r="E13" i="40"/>
  <c r="F13" i="40"/>
  <c r="B14" i="40"/>
  <c r="C14" i="40"/>
  <c r="D14" i="40"/>
  <c r="E14" i="40"/>
  <c r="F14" i="40"/>
  <c r="B15" i="40"/>
  <c r="C15" i="40"/>
  <c r="D15" i="40"/>
  <c r="E15" i="40"/>
  <c r="F15" i="40"/>
  <c r="B16" i="40"/>
  <c r="C16" i="40"/>
  <c r="D16" i="40"/>
  <c r="E16" i="40"/>
  <c r="F16" i="40"/>
  <c r="B17" i="40"/>
  <c r="C17" i="40"/>
  <c r="D17" i="40"/>
  <c r="E17" i="40"/>
  <c r="F17" i="40"/>
  <c r="B18" i="40"/>
  <c r="C18" i="40"/>
  <c r="D18" i="40"/>
  <c r="E18" i="40"/>
  <c r="F18" i="40"/>
  <c r="B19" i="40"/>
  <c r="C19" i="40"/>
  <c r="D19" i="40"/>
  <c r="E19" i="40"/>
  <c r="F19" i="40"/>
  <c r="C7" i="40"/>
  <c r="D7" i="40"/>
  <c r="E7" i="40"/>
  <c r="F7" i="40"/>
  <c r="B7" i="40"/>
  <c r="B8" i="36"/>
  <c r="C8" i="36"/>
  <c r="D8" i="36"/>
  <c r="E8" i="36"/>
  <c r="F8" i="36"/>
  <c r="B9" i="36"/>
  <c r="C9" i="36"/>
  <c r="D9" i="36"/>
  <c r="E9" i="36"/>
  <c r="F9" i="36"/>
  <c r="B10" i="36"/>
  <c r="C10" i="36"/>
  <c r="D10" i="36"/>
  <c r="E10" i="36"/>
  <c r="F10" i="36"/>
  <c r="B11" i="36"/>
  <c r="C11" i="36"/>
  <c r="D11" i="36"/>
  <c r="E11" i="36"/>
  <c r="F11" i="36"/>
  <c r="B12" i="36"/>
  <c r="D12" i="36"/>
  <c r="E12" i="36"/>
  <c r="F12" i="36"/>
  <c r="B13" i="36"/>
  <c r="C13" i="36"/>
  <c r="D13" i="36"/>
  <c r="E13" i="36"/>
  <c r="F13" i="36"/>
  <c r="B14" i="36"/>
  <c r="C14" i="36"/>
  <c r="D14" i="36"/>
  <c r="E14" i="36"/>
  <c r="F14" i="36"/>
  <c r="B15" i="36"/>
  <c r="C15" i="36"/>
  <c r="D15" i="36"/>
  <c r="E15" i="36"/>
  <c r="F15" i="36"/>
  <c r="B16" i="36"/>
  <c r="C16" i="36"/>
  <c r="D16" i="36"/>
  <c r="E16" i="36"/>
  <c r="F16" i="36"/>
  <c r="B17" i="36"/>
  <c r="C17" i="36"/>
  <c r="D17" i="36"/>
  <c r="E17" i="36"/>
  <c r="F17" i="36"/>
  <c r="B18" i="36"/>
  <c r="C18" i="36"/>
  <c r="D18" i="36"/>
  <c r="E18" i="36"/>
  <c r="F18" i="36"/>
  <c r="B19" i="36"/>
  <c r="C19" i="36"/>
  <c r="D19" i="36"/>
  <c r="E19" i="36"/>
  <c r="F19" i="36"/>
  <c r="C7" i="36"/>
  <c r="D7" i="36"/>
  <c r="E7" i="36"/>
  <c r="F7" i="36"/>
  <c r="B7" i="36"/>
  <c r="B23" i="36"/>
  <c r="C23" i="36"/>
  <c r="D23" i="36"/>
  <c r="E23" i="36"/>
  <c r="F23" i="36"/>
  <c r="C22" i="36"/>
  <c r="D22" i="36"/>
  <c r="E22" i="36"/>
  <c r="F22" i="36"/>
  <c r="B22" i="36"/>
  <c r="B28" i="36"/>
  <c r="B30" i="36"/>
  <c r="B32" i="36"/>
  <c r="B34" i="36"/>
  <c r="B26" i="36"/>
  <c r="B28" i="39"/>
  <c r="B30" i="39"/>
  <c r="B32" i="39"/>
  <c r="B34" i="39"/>
  <c r="B26" i="39"/>
  <c r="B23" i="39"/>
  <c r="C23" i="39"/>
  <c r="D23" i="39"/>
  <c r="E23" i="39"/>
  <c r="F23" i="39"/>
  <c r="C22" i="39"/>
  <c r="D22" i="39"/>
  <c r="E22" i="39"/>
  <c r="F22" i="39"/>
  <c r="B22" i="39"/>
  <c r="B8" i="39"/>
  <c r="C8" i="39"/>
  <c r="D8" i="39"/>
  <c r="E8" i="39"/>
  <c r="F8" i="39"/>
  <c r="B9" i="39"/>
  <c r="C9" i="39"/>
  <c r="D9" i="39"/>
  <c r="E9" i="39"/>
  <c r="F9" i="39"/>
  <c r="B10" i="39"/>
  <c r="C10" i="39"/>
  <c r="D10" i="39"/>
  <c r="E10" i="39"/>
  <c r="F10" i="39"/>
  <c r="B11" i="39"/>
  <c r="C11" i="39"/>
  <c r="D11" i="39"/>
  <c r="E11" i="39"/>
  <c r="F11" i="39"/>
  <c r="B12" i="39"/>
  <c r="C12" i="39"/>
  <c r="D12" i="39"/>
  <c r="E12" i="39"/>
  <c r="F12" i="39"/>
  <c r="B13" i="39"/>
  <c r="C13" i="39"/>
  <c r="D13" i="39"/>
  <c r="E13" i="39"/>
  <c r="F13" i="39"/>
  <c r="B14" i="39"/>
  <c r="C14" i="39"/>
  <c r="D14" i="39"/>
  <c r="E14" i="39"/>
  <c r="F14" i="39"/>
  <c r="B15" i="39"/>
  <c r="C15" i="39"/>
  <c r="D15" i="39"/>
  <c r="E15" i="39"/>
  <c r="F15" i="39"/>
  <c r="B16" i="39"/>
  <c r="C16" i="39"/>
  <c r="D16" i="39"/>
  <c r="E16" i="39"/>
  <c r="F16" i="39"/>
  <c r="B17" i="39"/>
  <c r="C17" i="39"/>
  <c r="D17" i="39"/>
  <c r="E17" i="39"/>
  <c r="F17" i="39"/>
  <c r="B18" i="39"/>
  <c r="C18" i="39"/>
  <c r="D18" i="39"/>
  <c r="E18" i="39"/>
  <c r="F18" i="39"/>
  <c r="B19" i="39"/>
  <c r="C19" i="39"/>
  <c r="D19" i="39"/>
  <c r="E19" i="39"/>
  <c r="F19" i="39"/>
  <c r="D7" i="39"/>
  <c r="E7" i="39"/>
  <c r="F7" i="39"/>
  <c r="B7" i="39"/>
  <c r="B30" i="37"/>
  <c r="B32" i="37"/>
  <c r="B34" i="37"/>
  <c r="B26" i="37"/>
  <c r="B23" i="37"/>
  <c r="C23" i="37"/>
  <c r="D23" i="37"/>
  <c r="E23" i="37"/>
  <c r="F23" i="37"/>
  <c r="C22" i="37"/>
  <c r="D22" i="37"/>
  <c r="E22" i="37"/>
  <c r="F22" i="37"/>
  <c r="B22" i="37"/>
  <c r="B8" i="37"/>
  <c r="C8" i="37"/>
  <c r="D8" i="37"/>
  <c r="E8" i="37"/>
  <c r="F8" i="37"/>
  <c r="B9" i="37"/>
  <c r="C9" i="37"/>
  <c r="D9" i="37"/>
  <c r="E9" i="37"/>
  <c r="F9" i="37"/>
  <c r="B10" i="37"/>
  <c r="C10" i="37"/>
  <c r="D10" i="37"/>
  <c r="E10" i="37"/>
  <c r="F10" i="37"/>
  <c r="B11" i="37"/>
  <c r="C11" i="37"/>
  <c r="D11" i="37"/>
  <c r="E11" i="37"/>
  <c r="F11" i="37"/>
  <c r="B12" i="37"/>
  <c r="C12" i="37"/>
  <c r="D12" i="37"/>
  <c r="E12" i="37"/>
  <c r="F12" i="37"/>
  <c r="B13" i="37"/>
  <c r="C13" i="37"/>
  <c r="D13" i="37"/>
  <c r="E13" i="37"/>
  <c r="F13" i="37"/>
  <c r="B14" i="37"/>
  <c r="C14" i="37"/>
  <c r="D14" i="37"/>
  <c r="E14" i="37"/>
  <c r="F14" i="37"/>
  <c r="B15" i="37"/>
  <c r="C15" i="37"/>
  <c r="D15" i="37"/>
  <c r="E15" i="37"/>
  <c r="F15" i="37"/>
  <c r="B16" i="37"/>
  <c r="C16" i="37"/>
  <c r="D16" i="37"/>
  <c r="E16" i="37"/>
  <c r="F16" i="37"/>
  <c r="B17" i="37"/>
  <c r="C17" i="37"/>
  <c r="D17" i="37"/>
  <c r="E17" i="37"/>
  <c r="F17" i="37"/>
  <c r="B18" i="37"/>
  <c r="C18" i="37"/>
  <c r="D18" i="37"/>
  <c r="E18" i="37"/>
  <c r="F18" i="37"/>
  <c r="B19" i="37"/>
  <c r="D19" i="37"/>
  <c r="E19" i="37"/>
  <c r="F19" i="37"/>
  <c r="C7" i="37"/>
  <c r="D7" i="37"/>
  <c r="E7" i="37"/>
  <c r="F7" i="37"/>
  <c r="B7" i="37"/>
  <c r="F19" i="34" l="1"/>
  <c r="E12" i="34"/>
  <c r="C17" i="34"/>
  <c r="C19" i="34"/>
  <c r="D10" i="34"/>
  <c r="B8" i="34"/>
  <c r="C8" i="34"/>
  <c r="F18" i="34"/>
  <c r="D16" i="34"/>
  <c r="B14" i="34"/>
  <c r="C9" i="34"/>
  <c r="D12" i="34"/>
  <c r="E18" i="34"/>
  <c r="C16" i="34"/>
  <c r="F13" i="34"/>
  <c r="B9" i="34"/>
  <c r="F8" i="34"/>
  <c r="D9" i="34"/>
  <c r="E19" i="34"/>
  <c r="B12" i="34"/>
  <c r="F16" i="34"/>
  <c r="F7" i="34"/>
  <c r="C18" i="34"/>
  <c r="F15" i="34"/>
  <c r="D13" i="34"/>
  <c r="B11" i="34"/>
  <c r="E8" i="34"/>
  <c r="E13" i="34"/>
  <c r="F14" i="34"/>
  <c r="B10" i="34"/>
  <c r="D19" i="34"/>
  <c r="B17" i="34"/>
  <c r="E14" i="34"/>
  <c r="C12" i="34"/>
  <c r="F9" i="34"/>
  <c r="E11" i="34"/>
  <c r="C11" i="34"/>
  <c r="C10" i="34"/>
  <c r="E15" i="34"/>
  <c r="D15" i="34"/>
  <c r="E10" i="34"/>
  <c r="E17" i="34"/>
  <c r="F12" i="34"/>
  <c r="D14" i="34"/>
  <c r="E9" i="34"/>
  <c r="B7" i="34"/>
  <c r="B16" i="34"/>
  <c r="D17" i="34"/>
  <c r="B15" i="34"/>
  <c r="E7" i="34"/>
  <c r="B18" i="34"/>
  <c r="C13" i="34"/>
  <c r="F10" i="34"/>
  <c r="D8" i="34"/>
  <c r="D7" i="34"/>
  <c r="F17" i="34"/>
  <c r="B13" i="34"/>
  <c r="C7" i="34"/>
  <c r="C15" i="34"/>
  <c r="D11" i="34"/>
  <c r="D18" i="34"/>
  <c r="B19" i="34"/>
  <c r="E16" i="34"/>
  <c r="C14" i="34"/>
  <c r="F11" i="34"/>
  <c r="G9" i="40"/>
  <c r="G7" i="37"/>
  <c r="G15" i="38"/>
  <c r="G8" i="38"/>
  <c r="G10" i="35"/>
  <c r="G11" i="35"/>
  <c r="G15" i="37"/>
  <c r="G19" i="39"/>
  <c r="G15" i="40"/>
  <c r="G14" i="38"/>
  <c r="G14" i="37"/>
  <c r="G13" i="39"/>
  <c r="G7" i="40"/>
  <c r="G9" i="37"/>
  <c r="G19" i="35"/>
  <c r="G14" i="35"/>
  <c r="G9" i="35"/>
  <c r="G13" i="37"/>
  <c r="G17" i="39"/>
  <c r="G13" i="40"/>
  <c r="G12" i="38"/>
  <c r="G12" i="35"/>
  <c r="G16" i="37"/>
  <c r="G18" i="37"/>
  <c r="G7" i="35"/>
  <c r="G16" i="35"/>
  <c r="G8" i="37"/>
  <c r="G12" i="39"/>
  <c r="G8" i="40"/>
  <c r="G19" i="38"/>
  <c r="G18" i="35"/>
  <c r="G10" i="37"/>
  <c r="G14" i="39"/>
  <c r="G9" i="38"/>
  <c r="G13" i="35"/>
  <c r="G17" i="37"/>
  <c r="G9" i="39"/>
  <c r="G7" i="36"/>
  <c r="G16" i="36"/>
  <c r="G17" i="40"/>
  <c r="G16" i="38"/>
  <c r="G8" i="35"/>
  <c r="G12" i="37"/>
  <c r="G7" i="39"/>
  <c r="G16" i="39"/>
  <c r="G12" i="40"/>
  <c r="G7" i="38"/>
  <c r="G11" i="38"/>
  <c r="G10" i="40"/>
  <c r="G15" i="35"/>
  <c r="G19" i="37"/>
  <c r="G11" i="39"/>
  <c r="G19" i="40"/>
  <c r="G18" i="38"/>
  <c r="G18" i="39"/>
  <c r="G14" i="40"/>
  <c r="G13" i="38"/>
  <c r="G17" i="35"/>
  <c r="G8" i="39"/>
  <c r="G16" i="40"/>
  <c r="G11" i="37"/>
  <c r="G15" i="39"/>
  <c r="G11" i="40"/>
  <c r="G10" i="38"/>
  <c r="G10" i="39"/>
  <c r="G18" i="40"/>
  <c r="G17" i="38"/>
  <c r="G11" i="36"/>
  <c r="G18" i="36"/>
  <c r="G13" i="36"/>
  <c r="G8" i="36"/>
  <c r="G15" i="36"/>
  <c r="G10" i="36"/>
  <c r="G17" i="36"/>
  <c r="G12" i="36"/>
  <c r="G19" i="36"/>
  <c r="G14" i="36"/>
  <c r="G9" i="36"/>
  <c r="B20" i="37"/>
  <c r="F20" i="40"/>
  <c r="E20" i="40"/>
  <c r="D20" i="40"/>
  <c r="C20" i="40"/>
  <c r="B20" i="40"/>
  <c r="F20" i="39"/>
  <c r="E20" i="39"/>
  <c r="D20" i="39"/>
  <c r="C20" i="39"/>
  <c r="B20" i="39"/>
  <c r="F20" i="38"/>
  <c r="E20" i="38"/>
  <c r="D20" i="38"/>
  <c r="C20" i="38"/>
  <c r="B20" i="38"/>
  <c r="F20" i="37"/>
  <c r="E20" i="37"/>
  <c r="D20" i="37"/>
  <c r="C20" i="37"/>
  <c r="F20" i="36"/>
  <c r="E20" i="36"/>
  <c r="D20" i="36"/>
  <c r="C20" i="36"/>
  <c r="B20" i="36"/>
  <c r="F20" i="35"/>
  <c r="E20" i="35"/>
  <c r="D20" i="35"/>
  <c r="C20" i="35"/>
  <c r="B20" i="35"/>
  <c r="F20" i="34" l="1"/>
  <c r="E20" i="34"/>
  <c r="D20" i="34"/>
  <c r="C20" i="34"/>
  <c r="B20" i="34"/>
</calcChain>
</file>

<file path=xl/sharedStrings.xml><?xml version="1.0" encoding="utf-8"?>
<sst xmlns="http://schemas.openxmlformats.org/spreadsheetml/2006/main" count="267" uniqueCount="30">
  <si>
    <t>RMA</t>
  </si>
  <si>
    <t xml:space="preserve">Device Name </t>
  </si>
  <si>
    <t>Monday</t>
  </si>
  <si>
    <t xml:space="preserve">Wednesday </t>
  </si>
  <si>
    <t xml:space="preserve">Thursday </t>
  </si>
  <si>
    <t xml:space="preserve">Friday </t>
  </si>
  <si>
    <t xml:space="preserve">Tusday </t>
  </si>
  <si>
    <t xml:space="preserve">Monday </t>
  </si>
  <si>
    <t xml:space="preserve">RMA Comment </t>
  </si>
  <si>
    <t>Total</t>
  </si>
  <si>
    <t>Friday</t>
  </si>
  <si>
    <t>DS3678</t>
  </si>
  <si>
    <t>TC5x</t>
  </si>
  <si>
    <t>MC3x</t>
  </si>
  <si>
    <t>19xx</t>
  </si>
  <si>
    <t>ZQ6xx</t>
  </si>
  <si>
    <t>ZD62x</t>
  </si>
  <si>
    <t>ZT41x</t>
  </si>
  <si>
    <t>Laptops</t>
  </si>
  <si>
    <t>Avery</t>
  </si>
  <si>
    <t>RS5xxx</t>
  </si>
  <si>
    <t>Thinclient/Desktop</t>
  </si>
  <si>
    <t>Motorola</t>
  </si>
  <si>
    <t>RTV</t>
  </si>
  <si>
    <t>Tuesday</t>
  </si>
  <si>
    <t>Wednesday</t>
  </si>
  <si>
    <t>Thursday</t>
  </si>
  <si>
    <t xml:space="preserve">Weekly Report </t>
  </si>
  <si>
    <t>TOTAL WORKING HRS</t>
  </si>
  <si>
    <t xml:space="preserve">TOTAL NON WORKING HRS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</si>
</sst>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7">
    <xf numFmtId="0" fontId="0" fillId="0" borderId="0" xfId="0"/>
    <xf numFmtId="0" fontId="0" fillId="2" borderId="0" xfId="0" applyFill="1"/>
    <xf numFmtId="0" fontId="0" fillId="0" borderId="5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7" fillId="5" borderId="15" xfId="1" applyFont="1" applyFill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5" borderId="16" xfId="1" applyFont="1" applyFill="1" applyBorder="1" applyAlignment="1">
      <alignment horizontal="center" vertical="center"/>
    </xf>
    <xf numFmtId="0" fontId="7" fillId="5" borderId="17" xfId="1" applyFont="1" applyFill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7" fillId="5" borderId="18" xfId="1" applyFont="1" applyFill="1" applyBorder="1" applyAlignment="1">
      <alignment horizontal="center" vertical="center"/>
    </xf>
    <xf numFmtId="0" fontId="7" fillId="5" borderId="19" xfId="1" applyFont="1" applyFill="1" applyBorder="1" applyAlignment="1">
      <alignment horizontal="center" vertical="center"/>
    </xf>
    <xf numFmtId="0" fontId="7" fillId="0" borderId="20" xfId="1" applyFont="1" applyBorder="1" applyAlignment="1">
      <alignment horizontal="center" vertical="center"/>
    </xf>
    <xf numFmtId="0" fontId="7" fillId="5" borderId="20" xfId="1" applyFont="1" applyFill="1" applyBorder="1" applyAlignment="1">
      <alignment horizontal="center" vertical="center"/>
    </xf>
    <xf numFmtId="0" fontId="7" fillId="0" borderId="21" xfId="1" applyFont="1" applyBorder="1" applyAlignment="1">
      <alignment horizontal="center" vertical="center"/>
    </xf>
    <xf numFmtId="0" fontId="7" fillId="5" borderId="21" xfId="1" applyFont="1" applyFill="1" applyBorder="1" applyAlignment="1">
      <alignment horizontal="center" vertical="center"/>
    </xf>
    <xf numFmtId="0" fontId="7" fillId="5" borderId="23" xfId="1" applyFont="1" applyFill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8" fillId="0" borderId="26" xfId="1" applyFont="1" applyBorder="1" applyAlignment="1">
      <alignment horizontal="center" vertical="center"/>
    </xf>
    <xf numFmtId="0" fontId="8" fillId="0" borderId="27" xfId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0" fillId="0" borderId="6" xfId="0" applyBorder="1" applyAlignment="1" applyProtection="1">
      <alignment horizontal="center" vertical="center"/>
      <protection locked="0"/>
    </xf>
    <xf numFmtId="0" fontId="7" fillId="5" borderId="28" xfId="1" applyFont="1" applyFill="1" applyBorder="1" applyAlignment="1" applyProtection="1">
      <alignment horizontal="center" vertical="center"/>
    </xf>
    <xf numFmtId="0" fontId="7" fillId="5" borderId="15" xfId="1" applyFont="1" applyFill="1" applyBorder="1" applyAlignment="1" applyProtection="1">
      <alignment horizontal="center" vertical="center"/>
    </xf>
    <xf numFmtId="0" fontId="7" fillId="0" borderId="9" xfId="1" applyFont="1" applyFill="1" applyBorder="1" applyAlignment="1" applyProtection="1">
      <alignment horizontal="center" vertical="center"/>
    </xf>
    <xf numFmtId="0" fontId="7" fillId="0" borderId="16" xfId="1" applyFont="1" applyFill="1" applyBorder="1" applyAlignment="1" applyProtection="1">
      <alignment horizontal="center" vertical="center"/>
    </xf>
    <xf numFmtId="0" fontId="7" fillId="5" borderId="9" xfId="1" applyFont="1" applyFill="1" applyBorder="1" applyAlignment="1" applyProtection="1">
      <alignment horizontal="center" vertical="center"/>
    </xf>
    <xf numFmtId="0" fontId="7" fillId="5" borderId="16" xfId="1" applyFont="1" applyFill="1" applyBorder="1" applyAlignment="1" applyProtection="1">
      <alignment horizontal="center" vertical="center"/>
    </xf>
    <xf numFmtId="0" fontId="7" fillId="5" borderId="29" xfId="1" applyFont="1" applyFill="1" applyBorder="1" applyAlignment="1" applyProtection="1">
      <alignment horizontal="center" vertical="center"/>
    </xf>
    <xf numFmtId="0" fontId="7" fillId="5" borderId="17" xfId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5" borderId="22" xfId="1" applyFont="1" applyFill="1" applyBorder="1" applyAlignment="1">
      <alignment horizontal="center" vertical="center"/>
    </xf>
    <xf numFmtId="0" fontId="7" fillId="5" borderId="33" xfId="1" applyFont="1" applyFill="1" applyBorder="1" applyAlignment="1" applyProtection="1">
      <alignment horizontal="center" vertical="center"/>
    </xf>
    <xf numFmtId="0" fontId="7" fillId="0" borderId="21" xfId="1" applyFont="1" applyFill="1" applyBorder="1" applyAlignment="1" applyProtection="1">
      <alignment horizontal="center" vertical="center"/>
    </xf>
    <xf numFmtId="0" fontId="7" fillId="5" borderId="21" xfId="1" applyFont="1" applyFill="1" applyBorder="1" applyAlignment="1" applyProtection="1">
      <alignment horizontal="center" vertical="center"/>
    </xf>
    <xf numFmtId="0" fontId="7" fillId="5" borderId="22" xfId="1" applyFont="1" applyFill="1" applyBorder="1" applyAlignment="1" applyProtection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14" fontId="2" fillId="3" borderId="3" xfId="0" applyNumberFormat="1" applyFont="1" applyFill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/>
    </xf>
    <xf numFmtId="14" fontId="2" fillId="3" borderId="7" xfId="0" applyNumberFormat="1" applyFont="1" applyFill="1" applyBorder="1" applyAlignment="1">
      <alignment horizontal="center" vertical="center"/>
    </xf>
    <xf numFmtId="14" fontId="2" fillId="3" borderId="0" xfId="0" applyNumberFormat="1" applyFont="1" applyFill="1" applyAlignment="1">
      <alignment horizontal="center" vertical="center"/>
    </xf>
    <xf numFmtId="14" fontId="2" fillId="3" borderId="6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</cellXfs>
  <cellStyles count="2">
    <cellStyle name="Followed Hyperlink" xfId="1" builtinId="9"/>
    <cellStyle name="Normal" xfId="0" builtinId="0"/>
  </cellStyles>
  <dxfs count="0"/>
  <tableStyles count="1" defaultTableStyle="TableStyleMedium2" defaultPivotStyle="PivotStyleLight16">
    <tableStyle name="Table Style 1" pivot="0" count="0" xr9:uid="{B39F67ED-ADF0-42C0-AFBB-2246D62FB65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10" Type="http://schemas.openxmlformats.org/officeDocument/2006/relationships/externalLink" Target="externalLinks/externalLink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W:/Team%20Spaces/RAD%20IT%20Engineering/NA%20RAD%20IT%20Engineering/RAD1/RAD1%20RMA%20Reporting/Daily%20Reports%202025/Tech%20Reports/BasharNew.xlsm" TargetMode="External"/><Relationship Id="rId1" Type="http://schemas.openxmlformats.org/officeDocument/2006/relationships/externalLinkPath" Target="BasharNew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harles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W:/Team%20Spaces/RAD%20IT%20Engineering/NA%20RAD%20IT%20Engineering/RAD1/RAD1%20RMA%20Reporting/Daily%20Reports%202025/Tech%20Reports/Darius.xlsm" TargetMode="External"/><Relationship Id="rId1" Type="http://schemas.openxmlformats.org/officeDocument/2006/relationships/externalLinkPath" Target="Darius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W:/Team%20Spaces/RAD%20IT%20Engineering/NA%20RAD%20IT%20Engineering/RAD1/RAD1%20RMA%20Reporting/Daily%20Reports%202025/Tech%20Reports/Doug.xlsm" TargetMode="External"/><Relationship Id="rId1" Type="http://schemas.openxmlformats.org/officeDocument/2006/relationships/externalLinkPath" Target="Doug.xlsm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W:/Team%20Spaces/RAD%20IT%20Engineering/NA%20RAD%20IT%20Engineering/RAD1/RAD1%20RMA%20Reporting/Daily%20Reports%202025/Tech%20Reports/George.xlsm" TargetMode="External"/><Relationship Id="rId1" Type="http://schemas.openxmlformats.org/officeDocument/2006/relationships/externalLinkPath" Target="George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John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Micha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har"/>
    </sheetNames>
    <sheetDataSet>
      <sheetData sheetId="0">
        <row r="7">
          <cell r="B7">
            <v>87</v>
          </cell>
          <cell r="C7">
            <v>121</v>
          </cell>
          <cell r="D7"/>
          <cell r="E7"/>
          <cell r="F7"/>
        </row>
        <row r="8">
          <cell r="B8"/>
          <cell r="C8"/>
          <cell r="D8"/>
          <cell r="E8"/>
          <cell r="F8"/>
        </row>
        <row r="9">
          <cell r="B9"/>
          <cell r="C9"/>
          <cell r="D9"/>
          <cell r="E9"/>
          <cell r="F9"/>
        </row>
        <row r="10">
          <cell r="B10"/>
          <cell r="C10"/>
          <cell r="D10"/>
          <cell r="E10"/>
          <cell r="F10"/>
        </row>
        <row r="11">
          <cell r="B11"/>
          <cell r="C11"/>
          <cell r="D11"/>
          <cell r="E11"/>
          <cell r="F11"/>
        </row>
        <row r="12">
          <cell r="B12"/>
          <cell r="C12"/>
          <cell r="D12"/>
          <cell r="E12"/>
          <cell r="F12"/>
        </row>
        <row r="13">
          <cell r="B13"/>
          <cell r="C13"/>
          <cell r="D13"/>
          <cell r="E13"/>
          <cell r="F13"/>
        </row>
        <row r="14">
          <cell r="B14"/>
          <cell r="C14"/>
          <cell r="D14"/>
          <cell r="E14"/>
          <cell r="F14"/>
        </row>
        <row r="15">
          <cell r="B15"/>
          <cell r="C15"/>
          <cell r="D15"/>
          <cell r="E15"/>
          <cell r="F15"/>
        </row>
        <row r="16">
          <cell r="B16"/>
          <cell r="C16"/>
          <cell r="D16"/>
          <cell r="E16"/>
          <cell r="F16"/>
        </row>
        <row r="17">
          <cell r="B17"/>
          <cell r="C17"/>
          <cell r="D17"/>
          <cell r="E17"/>
          <cell r="F17"/>
        </row>
        <row r="18">
          <cell r="B18"/>
          <cell r="C18"/>
          <cell r="D18"/>
          <cell r="E18"/>
          <cell r="F18"/>
        </row>
        <row r="19">
          <cell r="B19">
            <v>35</v>
          </cell>
          <cell r="C19"/>
          <cell r="D19"/>
          <cell r="E19"/>
          <cell r="F19"/>
        </row>
        <row r="22">
          <cell r="B22">
            <v>8</v>
          </cell>
          <cell r="C22">
            <v>8</v>
          </cell>
          <cell r="D22"/>
          <cell r="E22"/>
          <cell r="F22"/>
        </row>
        <row r="23">
          <cell r="B23"/>
          <cell r="C23"/>
          <cell r="D23"/>
          <cell r="E23"/>
          <cell r="F23"/>
        </row>
        <row r="26">
          <cell r="B26" t="str">
            <v xml:space="preserve">and I process 32 devices to Liquadation </v>
          </cell>
        </row>
        <row r="28">
          <cell r="B28" t="str">
            <v xml:space="preserve">0.5 meeting and 25 devices to liquadation </v>
          </cell>
        </row>
        <row r="30">
          <cell r="B30"/>
        </row>
        <row r="32">
          <cell r="B32"/>
        </row>
        <row r="34">
          <cell r="B34"/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les"/>
    </sheetNames>
    <sheetDataSet>
      <sheetData sheetId="0">
        <row r="7">
          <cell r="B7"/>
          <cell r="C7"/>
          <cell r="D7"/>
          <cell r="E7"/>
          <cell r="F7"/>
        </row>
        <row r="8">
          <cell r="B8"/>
          <cell r="C8"/>
          <cell r="D8"/>
          <cell r="E8"/>
          <cell r="F8"/>
        </row>
        <row r="9">
          <cell r="B9"/>
          <cell r="C9"/>
          <cell r="D9"/>
          <cell r="E9"/>
          <cell r="F9"/>
        </row>
        <row r="10">
          <cell r="B10"/>
          <cell r="C10"/>
          <cell r="D10"/>
          <cell r="E10"/>
          <cell r="F10"/>
        </row>
        <row r="11">
          <cell r="B11"/>
          <cell r="C11"/>
          <cell r="D11"/>
          <cell r="E11"/>
          <cell r="F11"/>
        </row>
        <row r="12">
          <cell r="B12"/>
          <cell r="C12"/>
          <cell r="D12"/>
          <cell r="E12"/>
          <cell r="F12"/>
        </row>
        <row r="13">
          <cell r="B13"/>
          <cell r="C13"/>
          <cell r="D13"/>
          <cell r="E13"/>
          <cell r="F13"/>
        </row>
        <row r="14">
          <cell r="B14"/>
          <cell r="C14"/>
          <cell r="D14"/>
          <cell r="E14"/>
          <cell r="F14"/>
        </row>
        <row r="15">
          <cell r="B15"/>
          <cell r="C15"/>
          <cell r="D15"/>
          <cell r="E15"/>
          <cell r="F15"/>
        </row>
        <row r="16">
          <cell r="B16"/>
          <cell r="C16"/>
          <cell r="D16"/>
          <cell r="E16"/>
          <cell r="F16"/>
        </row>
        <row r="17">
          <cell r="B17"/>
          <cell r="C17"/>
          <cell r="D17"/>
          <cell r="E17"/>
          <cell r="F17"/>
        </row>
        <row r="18">
          <cell r="B18"/>
          <cell r="C18"/>
          <cell r="D18"/>
          <cell r="E18"/>
          <cell r="F18"/>
        </row>
        <row r="19">
          <cell r="B19"/>
          <cell r="C19"/>
          <cell r="D19"/>
          <cell r="E19"/>
          <cell r="F19"/>
        </row>
        <row r="22">
          <cell r="B22"/>
          <cell r="C22"/>
          <cell r="D22"/>
          <cell r="E22"/>
          <cell r="F22"/>
        </row>
        <row r="23">
          <cell r="B23"/>
          <cell r="C23"/>
          <cell r="D23"/>
          <cell r="E23"/>
          <cell r="F23"/>
        </row>
        <row r="26">
          <cell r="B26"/>
        </row>
        <row r="28">
          <cell r="B28"/>
        </row>
        <row r="30">
          <cell r="B30"/>
        </row>
        <row r="32">
          <cell r="B32"/>
        </row>
        <row r="34">
          <cell r="B34"/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rius"/>
    </sheetNames>
    <sheetDataSet>
      <sheetData sheetId="0">
        <row r="7">
          <cell r="B7"/>
          <cell r="C7"/>
          <cell r="D7"/>
          <cell r="E7"/>
          <cell r="F7"/>
        </row>
        <row r="8">
          <cell r="B8"/>
          <cell r="C8"/>
          <cell r="D8">
            <v>79</v>
          </cell>
          <cell r="E8"/>
          <cell r="F8"/>
        </row>
        <row r="9">
          <cell r="B9"/>
          <cell r="C9"/>
          <cell r="D9"/>
          <cell r="E9"/>
          <cell r="F9"/>
        </row>
        <row r="10">
          <cell r="B10"/>
          <cell r="C10"/>
          <cell r="D10"/>
          <cell r="E10"/>
          <cell r="F10"/>
        </row>
        <row r="11">
          <cell r="B11"/>
          <cell r="C11"/>
          <cell r="D11"/>
          <cell r="E11"/>
          <cell r="F11"/>
        </row>
        <row r="12">
          <cell r="B12"/>
          <cell r="C12"/>
          <cell r="D12"/>
          <cell r="E12"/>
          <cell r="F12"/>
        </row>
        <row r="13">
          <cell r="B13"/>
          <cell r="C13"/>
          <cell r="D13"/>
          <cell r="E13"/>
          <cell r="F13"/>
        </row>
        <row r="14">
          <cell r="B14">
            <v>55</v>
          </cell>
          <cell r="C14">
            <v>48</v>
          </cell>
          <cell r="D14">
            <v>5</v>
          </cell>
          <cell r="E14"/>
          <cell r="F14"/>
        </row>
        <row r="15">
          <cell r="B15"/>
          <cell r="C15"/>
          <cell r="D15"/>
          <cell r="E15"/>
          <cell r="F15"/>
        </row>
        <row r="16">
          <cell r="B16"/>
          <cell r="C16"/>
          <cell r="D16"/>
          <cell r="E16"/>
          <cell r="F16"/>
        </row>
        <row r="17">
          <cell r="B17"/>
          <cell r="C17"/>
          <cell r="D17"/>
          <cell r="E17"/>
          <cell r="F17"/>
        </row>
        <row r="18">
          <cell r="B18"/>
          <cell r="C18"/>
          <cell r="D18"/>
          <cell r="E18"/>
          <cell r="F18"/>
        </row>
        <row r="19">
          <cell r="B19"/>
          <cell r="C19"/>
          <cell r="D19"/>
          <cell r="E19"/>
          <cell r="F19"/>
        </row>
        <row r="22">
          <cell r="B22"/>
          <cell r="C22"/>
          <cell r="D22"/>
          <cell r="E22"/>
          <cell r="F22"/>
        </row>
        <row r="23">
          <cell r="B23"/>
          <cell r="C23"/>
          <cell r="D23"/>
          <cell r="E23"/>
          <cell r="F23"/>
        </row>
        <row r="26">
          <cell r="B26" t="str">
            <v xml:space="preserve">Spent an hour looking over devices returned from avery that were still damaged. 30 minutes in team meeting. </v>
          </cell>
        </row>
        <row r="28">
          <cell r="B28"/>
        </row>
        <row r="30">
          <cell r="B30"/>
        </row>
        <row r="32">
          <cell r="B32"/>
        </row>
        <row r="34">
          <cell r="B34"/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ug"/>
    </sheetNames>
    <sheetDataSet>
      <sheetData sheetId="0">
        <row r="7">
          <cell r="B7"/>
          <cell r="C7"/>
          <cell r="D7"/>
          <cell r="E7"/>
          <cell r="F7"/>
        </row>
        <row r="8">
          <cell r="B8">
            <v>23</v>
          </cell>
          <cell r="C8">
            <v>33</v>
          </cell>
          <cell r="D8">
            <v>15</v>
          </cell>
          <cell r="E8"/>
          <cell r="F8"/>
        </row>
        <row r="9">
          <cell r="B9"/>
          <cell r="C9"/>
          <cell r="D9"/>
          <cell r="E9"/>
          <cell r="F9"/>
        </row>
        <row r="10">
          <cell r="B10"/>
          <cell r="C10"/>
          <cell r="D10"/>
          <cell r="E10"/>
          <cell r="F10"/>
        </row>
        <row r="11">
          <cell r="B11"/>
          <cell r="C11"/>
          <cell r="D11"/>
          <cell r="E11"/>
          <cell r="F11"/>
        </row>
        <row r="12">
          <cell r="B12"/>
          <cell r="C12"/>
          <cell r="D12"/>
          <cell r="E12"/>
          <cell r="F12"/>
        </row>
        <row r="13">
          <cell r="B13"/>
          <cell r="C13"/>
          <cell r="D13"/>
          <cell r="E13"/>
          <cell r="F13"/>
        </row>
        <row r="14">
          <cell r="B14"/>
          <cell r="C14"/>
          <cell r="D14"/>
          <cell r="E14"/>
          <cell r="F14"/>
        </row>
        <row r="15">
          <cell r="B15"/>
          <cell r="C15"/>
          <cell r="D15"/>
          <cell r="E15"/>
          <cell r="F15"/>
        </row>
        <row r="16">
          <cell r="B16"/>
          <cell r="C16"/>
          <cell r="D16"/>
          <cell r="E16"/>
          <cell r="F16"/>
        </row>
        <row r="17">
          <cell r="B17"/>
          <cell r="C17"/>
          <cell r="D17"/>
          <cell r="E17"/>
          <cell r="F17"/>
        </row>
        <row r="18">
          <cell r="B18"/>
          <cell r="C18"/>
          <cell r="D18"/>
          <cell r="E18"/>
          <cell r="F18"/>
        </row>
        <row r="19">
          <cell r="B19"/>
          <cell r="C19"/>
          <cell r="D19"/>
          <cell r="E19"/>
          <cell r="F19"/>
        </row>
        <row r="22">
          <cell r="B22"/>
          <cell r="C22"/>
          <cell r="D22"/>
          <cell r="E22"/>
          <cell r="F22"/>
        </row>
        <row r="23">
          <cell r="B23"/>
          <cell r="C23"/>
          <cell r="D23"/>
          <cell r="E23"/>
          <cell r="F23"/>
        </row>
        <row r="26">
          <cell r="B26" t="str">
            <v>0.5 hr.s OTIF; 3.5 hr.s problem solve; S/N recovery has been done, but not received; TOAs and multiple other problems still require attention causing a lower UPH</v>
          </cell>
        </row>
        <row r="28">
          <cell r="B28" t="str">
            <v>0.5 hr.s OTIF; 3.5 hr.s problem solve; 0.75 hr.s tech meeting; S/N recovery has been done, but not received; TOAs and multiple other problems still require attention causing a lower UPH</v>
          </cell>
        </row>
        <row r="30">
          <cell r="B30" t="str">
            <v>0.5 hr.s OTIF; 1.0 hr.s Zebra RMA/ shipping; 3.5 hr.s problem solve; S/N recovery has been done, but not received; TOAs and multiple other problems still require attention causing a lower UPH</v>
          </cell>
        </row>
        <row r="32">
          <cell r="B32"/>
        </row>
        <row r="34">
          <cell r="B34"/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orge"/>
    </sheetNames>
    <sheetDataSet>
      <sheetData sheetId="0">
        <row r="7">
          <cell r="B7"/>
          <cell r="C7"/>
          <cell r="D7"/>
          <cell r="E7"/>
          <cell r="F7"/>
        </row>
        <row r="8">
          <cell r="B8"/>
          <cell r="C8"/>
          <cell r="D8"/>
          <cell r="E8"/>
          <cell r="F8"/>
        </row>
        <row r="9">
          <cell r="B9"/>
          <cell r="C9"/>
          <cell r="D9"/>
          <cell r="E9"/>
          <cell r="F9"/>
        </row>
        <row r="10">
          <cell r="B10"/>
          <cell r="C10"/>
          <cell r="D10"/>
          <cell r="E10"/>
          <cell r="F10"/>
        </row>
        <row r="11">
          <cell r="B11"/>
          <cell r="C11"/>
          <cell r="D11"/>
          <cell r="E11"/>
          <cell r="F11"/>
        </row>
        <row r="12">
          <cell r="B12"/>
          <cell r="C12"/>
          <cell r="D12"/>
          <cell r="E12"/>
          <cell r="F12"/>
        </row>
        <row r="13">
          <cell r="B13"/>
          <cell r="C13"/>
          <cell r="D13"/>
          <cell r="E13"/>
          <cell r="F13"/>
        </row>
        <row r="14">
          <cell r="B14"/>
          <cell r="C14"/>
          <cell r="D14"/>
          <cell r="E14"/>
          <cell r="F14"/>
        </row>
        <row r="15">
          <cell r="B15"/>
          <cell r="C15"/>
          <cell r="D15"/>
          <cell r="E15"/>
          <cell r="F15"/>
        </row>
        <row r="16">
          <cell r="B16"/>
          <cell r="C16"/>
          <cell r="D16"/>
          <cell r="E16"/>
          <cell r="F16"/>
        </row>
        <row r="17">
          <cell r="B17"/>
          <cell r="C17"/>
          <cell r="D17"/>
          <cell r="E17"/>
          <cell r="F17"/>
        </row>
        <row r="18">
          <cell r="B18"/>
          <cell r="C18">
            <v>1</v>
          </cell>
          <cell r="D18"/>
          <cell r="E18"/>
          <cell r="F18"/>
        </row>
        <row r="19">
          <cell r="B19">
            <v>252</v>
          </cell>
          <cell r="C19">
            <v>228</v>
          </cell>
          <cell r="D19">
            <v>192</v>
          </cell>
          <cell r="E19"/>
          <cell r="F19"/>
        </row>
        <row r="22">
          <cell r="B22">
            <v>8</v>
          </cell>
          <cell r="C22">
            <v>8</v>
          </cell>
          <cell r="D22">
            <v>7.5</v>
          </cell>
          <cell r="E22" t="str">
            <v>New</v>
          </cell>
          <cell r="F22" t="str">
            <v xml:space="preserve">out of </v>
          </cell>
        </row>
        <row r="23">
          <cell r="B23"/>
          <cell r="C23"/>
          <cell r="D23"/>
          <cell r="E23" t="str">
            <v xml:space="preserve">Years </v>
          </cell>
          <cell r="F23" t="str">
            <v>office</v>
          </cell>
        </row>
        <row r="26">
          <cell r="B26" t="str">
            <v xml:space="preserve">RTV --- 168 MC33's / 84 TC57's --- 8hrs - 1 = 7 - .5 for helping new EC's = 6.5 - .5 for l1 help item numbers and locations = 6 - .5 PS devices = 5.5 x 35 units per hr = 192.5 devices for the day </v>
          </cell>
        </row>
        <row r="28">
          <cell r="B28" t="str">
            <v>RTV 144 MC33's / 84 TC57's --- liquidated 1 DTR700 -- 8 hrs - 1 = 7 - 1 hr for issues in morning = 6 - .75 for team meeting = 5.25 - .5 for TS devices = 4.75 x 35 units per hr = 166.25 devices for the day</v>
          </cell>
        </row>
        <row r="30">
          <cell r="B30" t="str">
            <v xml:space="preserve">RTV 168 TC57's / 24 MC33's --- 7.5 hrs - 2.5 hrs for shipping(18 totes plus had to refill boxes and dunnage) = 5 -1 hr = 4 - .5 ts devices= 3.5 - .5 for getting RTV ready to be shipped (creating TT and wrapping )= 3 hrs x 35 units per hr = 105 device for the day </v>
          </cell>
        </row>
        <row r="32">
          <cell r="B32" t="str">
            <v>New Years</v>
          </cell>
        </row>
        <row r="34">
          <cell r="B34" t="str">
            <v>out of office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hn"/>
    </sheetNames>
    <sheetDataSet>
      <sheetData sheetId="0">
        <row r="7">
          <cell r="B7"/>
          <cell r="C7"/>
          <cell r="D7"/>
          <cell r="E7"/>
          <cell r="F7"/>
        </row>
        <row r="8">
          <cell r="B8"/>
          <cell r="C8"/>
          <cell r="D8"/>
          <cell r="E8"/>
          <cell r="F8"/>
        </row>
        <row r="9">
          <cell r="B9"/>
          <cell r="C9"/>
          <cell r="D9"/>
          <cell r="E9"/>
          <cell r="F9"/>
        </row>
        <row r="10">
          <cell r="B10"/>
          <cell r="C10"/>
          <cell r="D10"/>
          <cell r="E10"/>
          <cell r="F10"/>
        </row>
        <row r="11">
          <cell r="B11"/>
          <cell r="C11"/>
          <cell r="D11"/>
          <cell r="E11"/>
          <cell r="F11"/>
        </row>
        <row r="12">
          <cell r="B12"/>
          <cell r="C12"/>
          <cell r="D12"/>
          <cell r="E12"/>
          <cell r="F12"/>
        </row>
        <row r="13">
          <cell r="B13"/>
          <cell r="C13"/>
          <cell r="D13"/>
          <cell r="E13"/>
          <cell r="F13"/>
        </row>
        <row r="14">
          <cell r="B14"/>
          <cell r="C14"/>
          <cell r="D14"/>
          <cell r="E14"/>
          <cell r="F14"/>
        </row>
        <row r="15">
          <cell r="B15"/>
          <cell r="C15"/>
          <cell r="D15"/>
          <cell r="E15"/>
          <cell r="F15"/>
        </row>
        <row r="16">
          <cell r="B16"/>
          <cell r="C16"/>
          <cell r="D16"/>
          <cell r="E16"/>
          <cell r="F16"/>
        </row>
        <row r="17">
          <cell r="B17"/>
          <cell r="C17"/>
          <cell r="D17"/>
          <cell r="E17"/>
          <cell r="F17"/>
        </row>
        <row r="18">
          <cell r="B18"/>
          <cell r="C18"/>
          <cell r="D18"/>
          <cell r="E18"/>
          <cell r="F18"/>
        </row>
        <row r="19">
          <cell r="B19"/>
          <cell r="C19"/>
          <cell r="D19"/>
          <cell r="E19"/>
          <cell r="F19"/>
        </row>
        <row r="22">
          <cell r="B22"/>
          <cell r="C22"/>
          <cell r="D22"/>
          <cell r="E22"/>
          <cell r="F22"/>
        </row>
        <row r="23">
          <cell r="B23"/>
          <cell r="C23"/>
          <cell r="D23"/>
          <cell r="E23"/>
          <cell r="F23"/>
        </row>
        <row r="26">
          <cell r="B26"/>
        </row>
        <row r="28">
          <cell r="B28"/>
        </row>
        <row r="30">
          <cell r="B30"/>
        </row>
        <row r="32">
          <cell r="B32"/>
        </row>
        <row r="34">
          <cell r="B34"/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chael"/>
    </sheetNames>
    <sheetDataSet>
      <sheetData sheetId="0">
        <row r="7">
          <cell r="B7"/>
          <cell r="C7"/>
          <cell r="D7"/>
          <cell r="E7"/>
          <cell r="F7"/>
        </row>
        <row r="8">
          <cell r="B8"/>
          <cell r="C8"/>
          <cell r="D8"/>
          <cell r="E8"/>
          <cell r="F8"/>
        </row>
        <row r="9">
          <cell r="B9"/>
          <cell r="C9"/>
          <cell r="D9"/>
          <cell r="E9"/>
          <cell r="F9"/>
        </row>
        <row r="10">
          <cell r="B10"/>
          <cell r="C10"/>
          <cell r="D10"/>
          <cell r="E10"/>
          <cell r="F10"/>
        </row>
        <row r="11">
          <cell r="B11"/>
          <cell r="C11"/>
          <cell r="D11"/>
          <cell r="E11"/>
          <cell r="F11"/>
        </row>
        <row r="12">
          <cell r="B12"/>
          <cell r="C12"/>
          <cell r="D12"/>
          <cell r="E12"/>
          <cell r="F12"/>
        </row>
        <row r="13">
          <cell r="B13"/>
          <cell r="C13"/>
          <cell r="D13"/>
          <cell r="E13"/>
          <cell r="F13"/>
        </row>
        <row r="14">
          <cell r="B14">
            <v>10</v>
          </cell>
          <cell r="C14"/>
          <cell r="D14"/>
          <cell r="E14"/>
          <cell r="F14"/>
        </row>
        <row r="15">
          <cell r="B15">
            <v>42</v>
          </cell>
          <cell r="C15">
            <v>104</v>
          </cell>
          <cell r="D15">
            <v>75</v>
          </cell>
          <cell r="E15"/>
          <cell r="F15"/>
        </row>
        <row r="16">
          <cell r="B16"/>
          <cell r="C16"/>
          <cell r="D16"/>
          <cell r="E16"/>
          <cell r="F16"/>
        </row>
        <row r="17">
          <cell r="B17"/>
          <cell r="C17"/>
          <cell r="D17"/>
          <cell r="E17"/>
          <cell r="F17"/>
        </row>
        <row r="18">
          <cell r="B18"/>
          <cell r="C18"/>
          <cell r="D18"/>
          <cell r="E18"/>
          <cell r="F18"/>
        </row>
        <row r="19">
          <cell r="B19"/>
          <cell r="C19"/>
          <cell r="D19"/>
          <cell r="E19"/>
          <cell r="F19"/>
        </row>
        <row r="22">
          <cell r="B22">
            <v>5</v>
          </cell>
          <cell r="C22">
            <v>6</v>
          </cell>
          <cell r="D22">
            <v>5.5</v>
          </cell>
          <cell r="E22"/>
          <cell r="F22"/>
        </row>
        <row r="23">
          <cell r="B23"/>
          <cell r="C23"/>
          <cell r="D23"/>
          <cell r="E23"/>
          <cell r="F23"/>
        </row>
        <row r="26">
          <cell r="B26" t="str">
            <v>(1 hour troubleshooting avery printers belonging to other sites, placed 11 remaining averys next on pallet to go to receive department)</v>
          </cell>
        </row>
        <row r="28">
          <cell r="B28" t="str">
            <v>(2 hours shipping 250 RTV Averys, full pallet)</v>
          </cell>
        </row>
        <row r="30">
          <cell r="B30"/>
        </row>
        <row r="32">
          <cell r="B32"/>
        </row>
        <row r="34">
          <cell r="B34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/Users/jfatuch/Desktop/Report/Test%20Report%201.xlsx" TargetMode="External"/><Relationship Id="rId2" Type="http://schemas.openxmlformats.org/officeDocument/2006/relationships/externalLinkPath" Target="file:///C:/Users/jfatuch/Desktop/Report/Test%20Report%201.xlsx" TargetMode="External"/><Relationship Id="rId1" Type="http://schemas.openxmlformats.org/officeDocument/2006/relationships/externalLinkPath" Target="file:///C:/Users/jfatuch/Desktop/Report/Test%20Report%201.xlsx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externalLinkPath" Target="file:///C:/Users/jfatuch/Desktop/Report/Test%20Report%201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/Users/jfatuch/Desktop/Report/Test%20Report%201.xlsx" TargetMode="External"/><Relationship Id="rId2" Type="http://schemas.openxmlformats.org/officeDocument/2006/relationships/externalLinkPath" Target="file:///C:/Users/jfatuch/Desktop/Report/Test%20Report%201.xlsx" TargetMode="External"/><Relationship Id="rId1" Type="http://schemas.openxmlformats.org/officeDocument/2006/relationships/externalLinkPath" Target="file:///C:/Users/jfatuch/Desktop/Report/Test%20Report%201.xlsx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externalLinkPath" Target="file:///C:/Users/jfatuch/Desktop/Report/Test%20Report%201.xlsx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/Users/jfatuch/Desktop/Report/Test%20Report%201.xlsx" TargetMode="External"/><Relationship Id="rId2" Type="http://schemas.openxmlformats.org/officeDocument/2006/relationships/externalLinkPath" Target="file:///C:/Users/jfatuch/Desktop/Report/Test%20Report%201.xlsx" TargetMode="External"/><Relationship Id="rId1" Type="http://schemas.openxmlformats.org/officeDocument/2006/relationships/externalLinkPath" Target="file:///C:/Users/jfatuch/Desktop/Report/Test%20Report%201.xlsx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externalLinkPath" Target="file:///C:/Users/jfatuch/Desktop/Report/Test%20Report%201.xlsx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/Users/jfatuch/Desktop/Report/Test%20Report%201.xlsx" TargetMode="External"/><Relationship Id="rId2" Type="http://schemas.openxmlformats.org/officeDocument/2006/relationships/externalLinkPath" Target="file:///C:/Users/jfatuch/Desktop/Report/Test%20Report%201.xlsx" TargetMode="External"/><Relationship Id="rId1" Type="http://schemas.openxmlformats.org/officeDocument/2006/relationships/externalLinkPath" Target="file:///C:/Users/jfatuch/Desktop/Report/Test%20Report%201.xlsx" TargetMode="External"/><Relationship Id="rId5" Type="http://schemas.openxmlformats.org/officeDocument/2006/relationships/printerSettings" Target="../printerSettings/printerSettings4.bin"/><Relationship Id="rId4" Type="http://schemas.openxmlformats.org/officeDocument/2006/relationships/externalLinkPath" Target="file:///C:/Users/jfatuch/Desktop/Report/Test%20Report%201.xlsx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/Users/jfatuch/Desktop/Report/Test%20Report%201.xlsx" TargetMode="External"/><Relationship Id="rId2" Type="http://schemas.openxmlformats.org/officeDocument/2006/relationships/externalLinkPath" Target="file:///C:/Users/jfatuch/Desktop/Report/Test%20Report%201.xlsx" TargetMode="External"/><Relationship Id="rId1" Type="http://schemas.openxmlformats.org/officeDocument/2006/relationships/externalLinkPath" Target="file:///C:/Users/jfatuch/Desktop/Report/Test%20Report%201.xlsx" TargetMode="External"/><Relationship Id="rId5" Type="http://schemas.openxmlformats.org/officeDocument/2006/relationships/printerSettings" Target="../printerSettings/printerSettings5.bin"/><Relationship Id="rId4" Type="http://schemas.openxmlformats.org/officeDocument/2006/relationships/externalLinkPath" Target="file:///C:/Users/jfatuch/Desktop/Report/Test%20Report%201.xlsx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/Users/jfatuch/Desktop/Report/Test%20Report%201.xlsx" TargetMode="External"/><Relationship Id="rId2" Type="http://schemas.openxmlformats.org/officeDocument/2006/relationships/externalLinkPath" Target="file:///C:/Users/jfatuch/Desktop/Report/Test%20Report%201.xlsx" TargetMode="External"/><Relationship Id="rId1" Type="http://schemas.openxmlformats.org/officeDocument/2006/relationships/externalLinkPath" Target="file:///C:/Users/jfatuch/Desktop/Report/Test%20Report%201.xlsx" TargetMode="External"/><Relationship Id="rId5" Type="http://schemas.openxmlformats.org/officeDocument/2006/relationships/printerSettings" Target="../printerSettings/printerSettings6.bin"/><Relationship Id="rId4" Type="http://schemas.openxmlformats.org/officeDocument/2006/relationships/externalLinkPath" Target="file:///C:/Users/jfatuch/Desktop/Report/Test%20Report%201.xlsx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/Users/jfatuch/Desktop/Report/Test%20Report%201.xlsx" TargetMode="External"/><Relationship Id="rId2" Type="http://schemas.openxmlformats.org/officeDocument/2006/relationships/externalLinkPath" Target="file:///C:/Users/jfatuch/Desktop/Report/Test%20Report%201.xlsx" TargetMode="External"/><Relationship Id="rId1" Type="http://schemas.openxmlformats.org/officeDocument/2006/relationships/externalLinkPath" Target="file:///C:/Users/jfatuch/Desktop/Report/Test%20Report%201.xlsx" TargetMode="External"/><Relationship Id="rId5" Type="http://schemas.openxmlformats.org/officeDocument/2006/relationships/printerSettings" Target="../printerSettings/printerSettings7.bin"/><Relationship Id="rId4" Type="http://schemas.openxmlformats.org/officeDocument/2006/relationships/externalLinkPath" Target="file:///C:/Users/jfatuch/Desktop/Report/Test%20Report%201.xlsx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/Users/jfatuch/Desktop/Report/Test%20Report%201.xlsx" TargetMode="External"/><Relationship Id="rId2" Type="http://schemas.openxmlformats.org/officeDocument/2006/relationships/externalLinkPath" Target="file:///C:/Users/jfatuch/Desktop/Report/Test%20Report%201.xlsx" TargetMode="External"/><Relationship Id="rId1" Type="http://schemas.openxmlformats.org/officeDocument/2006/relationships/externalLinkPath" Target="file:///C:/Users/jfatuch/Desktop/Report/Test%20Report%201.xlsx" TargetMode="External"/><Relationship Id="rId5" Type="http://schemas.openxmlformats.org/officeDocument/2006/relationships/printerSettings" Target="../printerSettings/printerSettings8.bin"/><Relationship Id="rId4" Type="http://schemas.openxmlformats.org/officeDocument/2006/relationships/externalLinkPath" Target="file:///C:/Users/jfatuch/Desktop/Report/Test%20Report%201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4BCDE-CC3C-423E-BFCA-A40FE4BF8DA1}">
  <sheetPr codeName="Sheet2">
    <tabColor theme="9" tint="0.39997558519241921"/>
    <pageSetUpPr fitToPage="1"/>
  </sheetPr>
  <dimension ref="A1:BZ68"/>
  <sheetViews>
    <sheetView tabSelected="1" zoomScaleNormal="100" workbookViewId="0">
      <selection activeCell="G29" sqref="G29"/>
    </sheetView>
  </sheetViews>
  <sheetFormatPr baseColWidth="10" defaultColWidth="8.83203125" defaultRowHeight="15" x14ac:dyDescent="0.2"/>
  <cols>
    <col min="1" max="1" width="18.33203125" bestFit="1" customWidth="1"/>
    <col min="2" max="3" width="8.33203125" bestFit="1" customWidth="1"/>
    <col min="4" max="4" width="11.5" bestFit="1" customWidth="1"/>
    <col min="5" max="5" width="9" bestFit="1" customWidth="1"/>
    <col min="6" max="6" width="6.5" bestFit="1" customWidth="1"/>
  </cols>
  <sheetData>
    <row r="1" spans="1:6" ht="14.75" customHeight="1" x14ac:dyDescent="0.2">
      <c r="A1" s="51" t="s">
        <v>0</v>
      </c>
      <c r="B1" s="52"/>
      <c r="C1" s="52"/>
      <c r="D1" s="52"/>
      <c r="E1" s="52"/>
      <c r="F1" s="53"/>
    </row>
    <row r="2" spans="1:6" ht="14.75" customHeight="1" x14ac:dyDescent="0.2">
      <c r="A2" s="54"/>
      <c r="B2" s="55"/>
      <c r="C2" s="55"/>
      <c r="D2" s="55"/>
      <c r="E2" s="55"/>
      <c r="F2" s="56"/>
    </row>
    <row r="3" spans="1:6" ht="14.75" customHeight="1" thickBot="1" x14ac:dyDescent="0.25">
      <c r="A3" s="57"/>
      <c r="B3" s="58"/>
      <c r="C3" s="58"/>
      <c r="D3" s="58"/>
      <c r="E3" s="58"/>
      <c r="F3" s="59"/>
    </row>
    <row r="4" spans="1:6" ht="14.75" customHeight="1" x14ac:dyDescent="0.2">
      <c r="A4" s="60" t="s">
        <v>27</v>
      </c>
      <c r="B4" s="61"/>
      <c r="C4" s="61"/>
      <c r="D4" s="61"/>
      <c r="E4" s="61"/>
      <c r="F4" s="62"/>
    </row>
    <row r="5" spans="1:6" ht="14.75" customHeight="1" thickBot="1" x14ac:dyDescent="0.25">
      <c r="A5" s="63"/>
      <c r="B5" s="64"/>
      <c r="C5" s="64"/>
      <c r="D5" s="64"/>
      <c r="E5" s="64"/>
      <c r="F5" s="65"/>
    </row>
    <row r="6" spans="1:6" ht="16" thickBot="1" x14ac:dyDescent="0.25">
      <c r="A6" s="3" t="s">
        <v>1</v>
      </c>
      <c r="B6" s="8" t="s">
        <v>2</v>
      </c>
      <c r="C6" s="9" t="s">
        <v>24</v>
      </c>
      <c r="D6" s="9" t="s">
        <v>25</v>
      </c>
      <c r="E6" s="23" t="s">
        <v>26</v>
      </c>
      <c r="F6" s="10" t="s">
        <v>10</v>
      </c>
    </row>
    <row r="7" spans="1:6" x14ac:dyDescent="0.2">
      <c r="A7" s="2" t="s">
        <v>12</v>
      </c>
      <c r="B7" s="11">
        <f>IF(SUM(Bashar!B7,Charles!B7,Darius!B7,Doug!B7,George!B7,John!B7,Michael!B7)=0,"",SUM(Bashar!B7,Charles!B7,Darius!B7,Doug!B7,George!B7,John!B7,Michael!B7))</f>
        <v>87</v>
      </c>
      <c r="C7" s="11">
        <f>IF(SUM(Bashar!C7,Charles!C7,Darius!C7,Doug!C7,George!C7,John!C7,Michael!C7)=0,"",SUM(Bashar!C7,Charles!C7,Darius!C7,Doug!C7,George!C7,John!C7,Michael!C7))</f>
        <v>121</v>
      </c>
      <c r="D7" s="11" t="str">
        <f>IF(SUM(Bashar!D7,Charles!D7,Darius!D7,Doug!D7,George!D7,John!D7,Michael!D7)=0,"",SUM(Bashar!D7,Charles!D7,Darius!D7,Doug!D7,George!D7,John!D7,Michael!D7))</f>
        <v/>
      </c>
      <c r="E7" s="11" t="str">
        <f>IF(SUM(Bashar!E7,Charles!E7,Darius!E7,Doug!E7,George!E7,John!E7,Michael!E7)=0,"",SUM(Bashar!E7,Charles!E7,Darius!E7,Doug!E7,George!E7,John!E7,Michael!E7))</f>
        <v/>
      </c>
      <c r="F7" s="11" t="str">
        <f>IF(SUM(Bashar!F7,Charles!F7,Darius!F7,Doug!F7,George!F7,John!F7,Michael!F7)=0,"",SUM(Bashar!F7,Charles!F7,Darius!F7,Doug!F7,George!F7,John!F7,Michael!F7))</f>
        <v/>
      </c>
    </row>
    <row r="8" spans="1:6" x14ac:dyDescent="0.2">
      <c r="A8" s="2" t="s">
        <v>13</v>
      </c>
      <c r="B8" s="12">
        <f>IF(SUM(Bashar!B8,Charles!B8,Darius!B8,Doug!B8,George!B8,John!B8,Michael!B8)=0,"",SUM(Bashar!B8,Charles!B8,Darius!B8,Doug!B8,George!B8,John!B8,Michael!B8))</f>
        <v>23</v>
      </c>
      <c r="C8" s="15">
        <f>IF(SUM(Bashar!C8,Charles!C8,Darius!C8,Doug!C8,George!C8,John!C8,Michael!C8)=0,"",SUM(Bashar!C8,Charles!C8,Darius!C8,Doug!C8,George!C8,John!C8,Michael!C8))</f>
        <v>33</v>
      </c>
      <c r="D8" s="20">
        <f>IF(SUM(Bashar!D8,Charles!D8,Darius!D8,Doug!D8,George!D8,John!D8,Michael!D8)=0,"",SUM(Bashar!D8,Charles!D8,Darius!D8,Doug!D8,George!D8,John!D8,Michael!D8))</f>
        <v>94</v>
      </c>
      <c r="E8" s="12" t="str">
        <f>IF(SUM(Bashar!E8,Charles!E8,Darius!E8,Doug!E8,George!E8,John!E8,Michael!E8)=0,"",SUM(Bashar!E8,Charles!E8,Darius!E8,Doug!E8,George!E8,John!E8,Michael!E8))</f>
        <v/>
      </c>
      <c r="F8" s="18" t="str">
        <f>IF(SUM(Bashar!F8,Charles!F8,Darius!F8,Doug!F8,George!F8,John!F8,Michael!F8)=0,"",SUM(Bashar!F8,Charles!F8,Darius!F8,Doug!F8,George!F8,John!F8,Michael!F8))</f>
        <v/>
      </c>
    </row>
    <row r="9" spans="1:6" x14ac:dyDescent="0.2">
      <c r="A9" s="2" t="s">
        <v>14</v>
      </c>
      <c r="B9" s="13" t="str">
        <f>IF(SUM(Bashar!B9,Charles!B9,Darius!B9,Doug!B9,George!B9,John!B9,Michael!B9)=0,"",SUM(Bashar!B9,Charles!B9,Darius!B9,Doug!B9,George!B9,John!B9,Michael!B9))</f>
        <v/>
      </c>
      <c r="C9" s="16" t="str">
        <f>IF(SUM(Bashar!C9,Charles!C9,Darius!C9,Doug!C9,George!C9,John!C9,Michael!C9)=0,"",SUM(Bashar!C9,Charles!C9,Darius!C9,Doug!C9,George!C9,John!C9,Michael!C9))</f>
        <v/>
      </c>
      <c r="D9" s="21" t="str">
        <f>IF(SUM(Bashar!D9,Charles!D9,Darius!D9,Doug!D9,George!D9,John!D9,Michael!D9)=0,"",SUM(Bashar!D9,Charles!D9,Darius!D9,Doug!D9,George!D9,John!D9,Michael!D9))</f>
        <v/>
      </c>
      <c r="E9" s="13" t="str">
        <f>IF(SUM(Bashar!E9,Charles!E9,Darius!E9,Doug!E9,George!E9,John!E9,Michael!E9)=0,"",SUM(Bashar!E9,Charles!E9,Darius!E9,Doug!E9,George!E9,John!E9,Michael!E9))</f>
        <v/>
      </c>
      <c r="F9" s="19" t="str">
        <f>IF(SUM(Bashar!F9,Charles!F9,Darius!F9,Doug!F9,George!F9,John!F9,Michael!F9)=0,"",SUM(Bashar!F9,Charles!F9,Darius!F9,Doug!F9,George!F9,John!F9,Michael!F9))</f>
        <v/>
      </c>
    </row>
    <row r="10" spans="1:6" x14ac:dyDescent="0.2">
      <c r="A10" s="2" t="s">
        <v>15</v>
      </c>
      <c r="B10" s="12" t="str">
        <f>IF(SUM(Bashar!B10,Charles!B10,Darius!B10,Doug!B10,George!B10,John!B10,Michael!B10)=0,"",SUM(Bashar!B10,Charles!B10,Darius!B10,Doug!B10,George!B10,John!B10,Michael!B10))</f>
        <v/>
      </c>
      <c r="C10" s="15" t="str">
        <f>IF(SUM(Bashar!C10,Charles!C10,Darius!C10,Doug!C10,George!C10,John!C10,Michael!C10)=0,"",SUM(Bashar!C10,Charles!C10,Darius!C10,Doug!C10,George!C10,John!C10,Michael!C10))</f>
        <v/>
      </c>
      <c r="D10" s="20" t="str">
        <f>IF(SUM(Bashar!D10,Charles!D10,Darius!D10,Doug!D10,George!D10,John!D10,Michael!D10)=0,"",SUM(Bashar!D10,Charles!D10,Darius!D10,Doug!D10,George!D10,John!D10,Michael!D10))</f>
        <v/>
      </c>
      <c r="E10" s="12" t="str">
        <f>IF(SUM(Bashar!E10,Charles!E10,Darius!E10,Doug!E10,George!E10,John!E10,Michael!E10)=0,"",SUM(Bashar!E10,Charles!E10,Darius!E10,Doug!E10,George!E10,John!E10,Michael!E10))</f>
        <v/>
      </c>
      <c r="F10" s="18" t="str">
        <f>IF(SUM(Bashar!F10,Charles!F10,Darius!F10,Doug!F10,George!F10,John!F10,Michael!F10)=0,"",SUM(Bashar!F10,Charles!F10,Darius!F10,Doug!F10,George!F10,John!F10,Michael!F10))</f>
        <v/>
      </c>
    </row>
    <row r="11" spans="1:6" x14ac:dyDescent="0.2">
      <c r="A11" s="2" t="s">
        <v>16</v>
      </c>
      <c r="B11" s="13" t="str">
        <f>IF(SUM(Bashar!B11,Charles!B11,Darius!B11,Doug!B11,George!B11,John!B11,Michael!B11)=0,"",SUM(Bashar!B11,Charles!B11,Darius!B11,Doug!B11,George!B11,John!B11,Michael!B11))</f>
        <v/>
      </c>
      <c r="C11" s="16" t="str">
        <f>IF(SUM(Bashar!C11,Charles!C11,Darius!C11,Doug!C11,George!C11,John!C11,Michael!C11)=0,"",SUM(Bashar!C11,Charles!C11,Darius!C11,Doug!C11,George!C11,John!C11,Michael!C11))</f>
        <v/>
      </c>
      <c r="D11" s="21" t="str">
        <f>IF(SUM(Bashar!D11,Charles!D11,Darius!D11,Doug!D11,George!D11,John!D11,Michael!D11)=0,"",SUM(Bashar!D11,Charles!D11,Darius!D11,Doug!D11,George!D11,John!D11,Michael!D11))</f>
        <v/>
      </c>
      <c r="E11" s="13" t="str">
        <f>IF(SUM(Bashar!E11,Charles!E11,Darius!E11,Doug!E11,George!E11,John!E11,Michael!E11)=0,"",SUM(Bashar!E11,Charles!E11,Darius!E11,Doug!E11,George!E11,John!E11,Michael!E11))</f>
        <v/>
      </c>
      <c r="F11" s="19" t="str">
        <f>IF(SUM(Bashar!F11,Charles!F11,Darius!F11,Doug!F11,George!F11,John!F11,Michael!F11)=0,"",SUM(Bashar!F11,Charles!F11,Darius!F11,Doug!F11,George!F11,John!F11,Michael!F11))</f>
        <v/>
      </c>
    </row>
    <row r="12" spans="1:6" x14ac:dyDescent="0.2">
      <c r="A12" s="2" t="s">
        <v>17</v>
      </c>
      <c r="B12" s="12" t="str">
        <f>IF(SUM(Bashar!B12,Charles!B12,Darius!B12,Doug!B12,George!B12,John!B12,Michael!B12)=0,"",SUM(Bashar!B12,Charles!B12,Darius!B12,Doug!B12,George!B12,John!B12,Michael!B12))</f>
        <v/>
      </c>
      <c r="C12" s="15" t="str">
        <f>IF(SUM(Bashar!C12,Charles!C12,Darius!C12,Doug!C12,George!C12,John!C12,Michael!C12)=0,"",SUM(Bashar!C12,Charles!C12,Darius!C12,Doug!C12,George!C12,John!C12,Michael!C12))</f>
        <v/>
      </c>
      <c r="D12" s="20" t="str">
        <f>IF(SUM(Bashar!D12,Charles!D12,Darius!D12,Doug!D12,George!D12,John!D12,Michael!D12)=0,"",SUM(Bashar!D12,Charles!D12,Darius!D12,Doug!D12,George!D12,John!D12,Michael!D12))</f>
        <v/>
      </c>
      <c r="E12" s="12" t="str">
        <f>IF(SUM(Bashar!E12,Charles!E12,Darius!E12,Doug!E12,George!E12,John!E12,Michael!E12)=0,"",SUM(Bashar!E12,Charles!E12,Darius!E12,Doug!E12,George!E12,John!E12,Michael!E12))</f>
        <v/>
      </c>
      <c r="F12" s="18" t="str">
        <f>IF(SUM(Bashar!F12,Charles!F12,Darius!F12,Doug!F12,George!F12,John!F12,Michael!F12)=0,"",SUM(Bashar!F12,Charles!F12,Darius!F12,Doug!F12,George!F12,John!F12,Michael!F12))</f>
        <v/>
      </c>
    </row>
    <row r="13" spans="1:6" x14ac:dyDescent="0.2">
      <c r="A13" s="2" t="s">
        <v>18</v>
      </c>
      <c r="B13" s="13" t="str">
        <f>IF(SUM(Bashar!B13,Charles!B13,Darius!B13,Doug!B13,George!B13,John!B13,Michael!B13)=0,"",SUM(Bashar!B13,Charles!B13,Darius!B13,Doug!B13,George!B13,John!B13,Michael!B13))</f>
        <v/>
      </c>
      <c r="C13" s="16" t="str">
        <f>IF(SUM(Bashar!C13,Charles!C13,Darius!C13,Doug!C13,George!C13,John!C13,Michael!C13)=0,"",SUM(Bashar!C13,Charles!C13,Darius!C13,Doug!C13,George!C13,John!C13,Michael!C13))</f>
        <v/>
      </c>
      <c r="D13" s="21" t="str">
        <f>IF(SUM(Bashar!D13,Charles!D13,Darius!D13,Doug!D13,George!D13,John!D13,Michael!D13)=0,"",SUM(Bashar!D13,Charles!D13,Darius!D13,Doug!D13,George!D13,John!D13,Michael!D13))</f>
        <v/>
      </c>
      <c r="E13" s="13" t="str">
        <f>IF(SUM(Bashar!E13,Charles!E13,Darius!E13,Doug!E13,George!E13,John!E13,Michael!E13)=0,"",SUM(Bashar!E13,Charles!E13,Darius!E13,Doug!E13,George!E13,John!E13,Michael!E13))</f>
        <v/>
      </c>
      <c r="F13" s="19" t="str">
        <f>IF(SUM(Bashar!F13,Charles!F13,Darius!F13,Doug!F13,George!F13,John!F13,Michael!F13)=0,"",SUM(Bashar!F13,Charles!F13,Darius!F13,Doug!F13,George!F13,John!F13,Michael!F13))</f>
        <v/>
      </c>
    </row>
    <row r="14" spans="1:6" x14ac:dyDescent="0.2">
      <c r="A14" s="2" t="s">
        <v>19</v>
      </c>
      <c r="B14" s="12">
        <f>IF(SUM(Bashar!B14,Charles!B14,Darius!B14,Doug!B14,George!B14,John!B14,Michael!B14)=0,"",SUM(Bashar!B14,Charles!B14,Darius!B14,Doug!B14,George!B14,John!B14,Michael!B14))</f>
        <v>65</v>
      </c>
      <c r="C14" s="15">
        <f>IF(SUM(Bashar!C14,Charles!C14,Darius!C14,Doug!C14,George!C14,John!C14,Michael!C14)=0,"",SUM(Bashar!C14,Charles!C14,Darius!C14,Doug!C14,George!C14,John!C14,Michael!C14))</f>
        <v>48</v>
      </c>
      <c r="D14" s="20">
        <f>IF(SUM(Bashar!D14,Charles!D14,Darius!D14,Doug!D14,George!D14,John!D14,Michael!D14)=0,"",SUM(Bashar!D14,Charles!D14,Darius!D14,Doug!D14,George!D14,John!D14,Michael!D14))</f>
        <v>5</v>
      </c>
      <c r="E14" s="12" t="str">
        <f>IF(SUM(Bashar!E14,Charles!E14,Darius!E14,Doug!E14,George!E14,John!E14,Michael!E14)=0,"",SUM(Bashar!E14,Charles!E14,Darius!E14,Doug!E14,George!E14,John!E14,Michael!E14))</f>
        <v/>
      </c>
      <c r="F14" s="18" t="str">
        <f>IF(SUM(Bashar!F14,Charles!F14,Darius!F14,Doug!F14,George!F14,John!F14,Michael!F14)=0,"",SUM(Bashar!F14,Charles!F14,Darius!F14,Doug!F14,George!F14,John!F14,Michael!F14))</f>
        <v/>
      </c>
    </row>
    <row r="15" spans="1:6" x14ac:dyDescent="0.2">
      <c r="A15" s="2" t="s">
        <v>20</v>
      </c>
      <c r="B15" s="13">
        <f>IF(SUM(Bashar!B15,Charles!B15,Darius!B15,Doug!B15,George!B15,John!B15,Michael!B15)=0,"",SUM(Bashar!B15,Charles!B15,Darius!B15,Doug!B15,George!B15,John!B15,Michael!B15))</f>
        <v>42</v>
      </c>
      <c r="C15" s="16">
        <f>IF(SUM(Bashar!C15,Charles!C15,Darius!C15,Doug!C15,George!C15,John!C15,Michael!C15)=0,"",SUM(Bashar!C15,Charles!C15,Darius!C15,Doug!C15,George!C15,John!C15,Michael!C15))</f>
        <v>104</v>
      </c>
      <c r="D15" s="21">
        <f>IF(SUM(Bashar!D15,Charles!D15,Darius!D15,Doug!D15,George!D15,John!D15,Michael!D15)=0,"",SUM(Bashar!D15,Charles!D15,Darius!D15,Doug!D15,George!D15,John!D15,Michael!D15))</f>
        <v>75</v>
      </c>
      <c r="E15" s="13" t="str">
        <f>IF(SUM(Bashar!E15,Charles!E15,Darius!E15,Doug!E15,George!E15,John!E15,Michael!E15)=0,"",SUM(Bashar!E15,Charles!E15,Darius!E15,Doug!E15,George!E15,John!E15,Michael!E15))</f>
        <v/>
      </c>
      <c r="F15" s="19" t="str">
        <f>IF(SUM(Bashar!F15,Charles!F15,Darius!F15,Doug!F15,George!F15,John!F15,Michael!F15)=0,"",SUM(Bashar!F15,Charles!F15,Darius!F15,Doug!F15,George!F15,John!F15,Michael!F15))</f>
        <v/>
      </c>
    </row>
    <row r="16" spans="1:6" x14ac:dyDescent="0.2">
      <c r="A16" s="2" t="s">
        <v>11</v>
      </c>
      <c r="B16" s="12" t="str">
        <f>IF(SUM(Bashar!B16,Charles!B16,Darius!B16,Doug!B16,George!B16,John!B16,Michael!B16)=0,"",SUM(Bashar!B16,Charles!B16,Darius!B16,Doug!B16,George!B16,John!B16,Michael!B16))</f>
        <v/>
      </c>
      <c r="C16" s="15" t="str">
        <f>IF(SUM(Bashar!C16,Charles!C16,Darius!C16,Doug!C16,George!C16,John!C16,Michael!C16)=0,"",SUM(Bashar!C16,Charles!C16,Darius!C16,Doug!C16,George!C16,John!C16,Michael!C16))</f>
        <v/>
      </c>
      <c r="D16" s="20" t="str">
        <f>IF(SUM(Bashar!D16,Charles!D16,Darius!D16,Doug!D16,George!D16,John!D16,Michael!D16)=0,"",SUM(Bashar!D16,Charles!D16,Darius!D16,Doug!D16,George!D16,John!D16,Michael!D16))</f>
        <v/>
      </c>
      <c r="E16" s="12" t="str">
        <f>IF(SUM(Bashar!E16,Charles!E16,Darius!E16,Doug!E16,George!E16,John!E16,Michael!E16)=0,"",SUM(Bashar!E16,Charles!E16,Darius!E16,Doug!E16,George!E16,John!E16,Michael!E16))</f>
        <v/>
      </c>
      <c r="F16" s="18" t="str">
        <f>IF(SUM(Bashar!F16,Charles!F16,Darius!F16,Doug!F16,George!F16,John!F16,Michael!F16)=0,"",SUM(Bashar!F16,Charles!F16,Darius!F16,Doug!F16,George!F16,John!F16,Michael!F16))</f>
        <v/>
      </c>
    </row>
    <row r="17" spans="1:78" x14ac:dyDescent="0.2">
      <c r="A17" s="2" t="s">
        <v>21</v>
      </c>
      <c r="B17" s="13" t="str">
        <f>IF(SUM(Bashar!B17,Charles!B17,Darius!B17,Doug!B17,George!B17,John!B17,Michael!B17)=0,"",SUM(Bashar!B17,Charles!B17,Darius!B17,Doug!B17,George!B17,John!B17,Michael!B17))</f>
        <v/>
      </c>
      <c r="C17" s="16" t="str">
        <f>IF(SUM(Bashar!C17,Charles!C17,Darius!C17,Doug!C17,George!C17,John!C17,Michael!C17)=0,"",SUM(Bashar!C17,Charles!C17,Darius!C17,Doug!C17,George!C17,John!C17,Michael!C17))</f>
        <v/>
      </c>
      <c r="D17" s="21" t="str">
        <f>IF(SUM(Bashar!D17,Charles!D17,Darius!D17,Doug!D17,George!D17,John!D17,Michael!D17)=0,"",SUM(Bashar!D17,Charles!D17,Darius!D17,Doug!D17,George!D17,John!D17,Michael!D17))</f>
        <v/>
      </c>
      <c r="E17" s="13" t="str">
        <f>IF(SUM(Bashar!E17,Charles!E17,Darius!E17,Doug!E17,George!E17,John!E17,Michael!E17)=0,"",SUM(Bashar!E17,Charles!E17,Darius!E17,Doug!E17,George!E17,John!E17,Michael!E17))</f>
        <v/>
      </c>
      <c r="F17" s="19" t="str">
        <f>IF(SUM(Bashar!F17,Charles!F17,Darius!F17,Doug!F17,George!F17,John!F17,Michael!F17)=0,"",SUM(Bashar!F17,Charles!F17,Darius!F17,Doug!F17,George!F17,John!F17,Michael!F17))</f>
        <v/>
      </c>
    </row>
    <row r="18" spans="1:78" x14ac:dyDescent="0.2">
      <c r="A18" s="2" t="s">
        <v>22</v>
      </c>
      <c r="B18" s="12" t="str">
        <f>IF(SUM(Bashar!B18,Charles!B18,Darius!B18,Doug!B18,George!B18,John!B18,Michael!B18)=0,"",SUM(Bashar!B18,Charles!B18,Darius!B18,Doug!B18,George!B18,John!B18,Michael!B18))</f>
        <v/>
      </c>
      <c r="C18" s="12">
        <f>IF(SUM(Bashar!C18,Charles!C18,Darius!C18,Doug!C18,George!C18,John!C18,Michael!C18)=0,"",SUM(Bashar!C18,Charles!C18,Darius!C18,Doug!C18,George!C18,John!C18,Michael!C18))</f>
        <v>1</v>
      </c>
      <c r="D18" s="12" t="str">
        <f>IF(SUM(Bashar!D18,Charles!D18,Darius!D18,Doug!D18,George!D18,John!D18,Michael!D18)=0,"",SUM(Bashar!D18,Charles!D18,Darius!D18,Doug!D18,George!D18,John!D18,Michael!D18))</f>
        <v/>
      </c>
      <c r="E18" s="12" t="str">
        <f>IF(SUM(Bashar!E18,Charles!E18,Darius!E18,Doug!E18,George!E18,John!E18,Michael!E18)=0,"",SUM(Bashar!E18,Charles!E18,Darius!E18,Doug!E18,George!E18,John!E18,Michael!E18))</f>
        <v/>
      </c>
      <c r="F18" s="12" t="str">
        <f>IF(SUM(Bashar!F18,Charles!F18,Darius!F18,Doug!F18,George!F18,John!F18,Michael!F18)=0,"",SUM(Bashar!F18,Charles!F18,Darius!F18,Doug!F18,George!F18,John!F18,Michael!F18))</f>
        <v/>
      </c>
    </row>
    <row r="19" spans="1:78" s="1" customFormat="1" ht="16" thickBot="1" x14ac:dyDescent="0.25">
      <c r="A19" s="2" t="s">
        <v>23</v>
      </c>
      <c r="B19" s="14">
        <f>IF(SUM(Bashar!B19,Charles!B19,Darius!B19,Doug!B19,George!B19,John!B19,Michael!B19)=0,"",SUM(Bashar!B19,Charles!B19,Darius!B19,Doug!B19,George!B19,John!B19,Michael!B19))</f>
        <v>287</v>
      </c>
      <c r="C19" s="17">
        <f>IF(SUM(Bashar!C19,Charles!C19,Darius!C19,Doug!C19,George!C19,John!C19,Michael!C19)=0,"",SUM(Bashar!C19,Charles!C19,Darius!C19,Doug!C19,George!C19,John!C19,Michael!C19))</f>
        <v>228</v>
      </c>
      <c r="D19" s="45">
        <f>IF(SUM(Bashar!D19,Charles!D19,Darius!D19,Doug!D19,George!D19,John!D19,Michael!D19)=0,"",SUM(Bashar!D19,Charles!D19,Darius!D19,Doug!D19,George!D19,John!D19,Michael!D19))</f>
        <v>192</v>
      </c>
      <c r="E19" s="14" t="str">
        <f>IF(SUM(Bashar!E19,Charles!E19,Darius!E19,Doug!E19,George!E19,John!E19,Michael!E19)=0,"",SUM(Bashar!E19,Charles!E19,Darius!E19,Doug!E19,George!E19,John!E19,Michael!E19))</f>
        <v/>
      </c>
      <c r="F19" s="22" t="str">
        <f>IF(SUM(Bashar!F19,Charles!F19,Darius!F19,Doug!F19,George!F19,John!F19,Michael!F19)=0,"",SUM(Bashar!F19,Charles!F19,Darius!F19,Doug!F19,George!F19,John!F19,Michael!F19))</f>
        <v/>
      </c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</row>
    <row r="20" spans="1:78" s="1" customFormat="1" ht="16" thickBot="1" x14ac:dyDescent="0.25">
      <c r="A20" s="7" t="s">
        <v>9</v>
      </c>
      <c r="B20" s="6">
        <f t="shared" ref="B20:F20" si="0">IF(SUM(B7:B19)=0,"",SUM(B7:B19))</f>
        <v>504</v>
      </c>
      <c r="C20" s="4">
        <f t="shared" si="0"/>
        <v>535</v>
      </c>
      <c r="D20" s="4">
        <f t="shared" si="0"/>
        <v>366</v>
      </c>
      <c r="E20" s="24" t="str">
        <f t="shared" si="0"/>
        <v/>
      </c>
      <c r="F20" s="5" t="str">
        <f t="shared" si="0"/>
        <v/>
      </c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</row>
    <row r="21" spans="1:78" s="1" customFormat="1" x14ac:dyDescent="0.2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</row>
    <row r="22" spans="1:78" s="1" customFormat="1" ht="14.75" customHeight="1" x14ac:dyDescent="0.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</row>
    <row r="23" spans="1:78" s="1" customFormat="1" ht="14.5" customHeight="1" x14ac:dyDescent="0.2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78" s="1" customFormat="1" ht="15" customHeight="1" x14ac:dyDescent="0.2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78" s="1" customFormat="1" ht="15.75" customHeight="1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78" s="1" customFormat="1" ht="15" customHeight="1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78" s="1" customFormat="1" ht="15" customHeight="1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78" s="1" customFormat="1" ht="15" customHeight="1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78" s="1" customFormat="1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78" s="1" customFormat="1" ht="15" customHeight="1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78" s="1" customFormat="1" ht="15" customHeight="1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78" s="1" customFormat="1" ht="14.5" customHeight="1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70" s="1" customFormat="1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70" s="1" customFormat="1" ht="15" customHeight="1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70" s="1" customFormat="1" ht="15" customHeight="1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70" s="1" customFormat="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70" s="1" customForma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70" s="1" customFormat="1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</row>
    <row r="39" spans="1:70" s="1" customFormat="1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</row>
    <row r="40" spans="1:70" s="1" customFormat="1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</row>
    <row r="41" spans="1:70" s="1" customFormat="1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</row>
    <row r="42" spans="1:70" s="1" customFormat="1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</row>
    <row r="43" spans="1:70" s="1" customFormat="1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</row>
    <row r="44" spans="1:70" s="1" customFormat="1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</row>
    <row r="45" spans="1:70" s="1" customFormat="1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</row>
    <row r="46" spans="1:70" s="1" customFormat="1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</row>
    <row r="47" spans="1:70" s="1" customFormat="1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</row>
    <row r="48" spans="1:70" s="1" customFormat="1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</row>
    <row r="49" spans="1:78" s="1" customFormat="1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</row>
    <row r="50" spans="1:78" s="1" customFormat="1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</row>
    <row r="51" spans="1:78" s="1" customFormat="1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</row>
    <row r="52" spans="1:78" s="1" customFormat="1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</row>
    <row r="53" spans="1:78" s="1" customFormat="1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</row>
    <row r="54" spans="1:78" s="1" customFormat="1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</row>
    <row r="55" spans="1:78" s="1" customFormat="1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</row>
    <row r="56" spans="1:78" s="1" customFormat="1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</row>
    <row r="57" spans="1:78" s="1" customFormat="1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</row>
    <row r="58" spans="1:78" s="1" customFormat="1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</row>
    <row r="59" spans="1:78" s="1" customFormat="1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</row>
    <row r="60" spans="1:78" s="1" customFormat="1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</row>
    <row r="61" spans="1:78" s="1" customFormat="1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</row>
    <row r="62" spans="1:78" s="1" customFormat="1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</row>
    <row r="63" spans="1:78" s="1" customFormat="1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</row>
    <row r="64" spans="1:78" s="1" customFormat="1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</row>
    <row r="65" spans="1:78" s="1" customFormat="1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</row>
    <row r="66" spans="1:78" s="1" customFormat="1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</row>
    <row r="67" spans="1:78" s="1" customFormat="1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</row>
    <row r="68" spans="1:78" s="1" customFormat="1" x14ac:dyDescent="0.2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</row>
  </sheetData>
  <dataConsolidate>
    <dataRefs count="4">
      <dataRef ref="C11:H28" sheet="Bashar" r:id="rId1"/>
      <dataRef ref="C11:H28" sheet="Darius" r:id="rId2"/>
      <dataRef ref="C11:H28" sheet="George" r:id="rId3"/>
      <dataRef ref="C11:H28" sheet="Rich" r:id="rId4"/>
    </dataRefs>
  </dataConsolidate>
  <mergeCells count="2">
    <mergeCell ref="A1:F3"/>
    <mergeCell ref="A4:F5"/>
  </mergeCells>
  <pageMargins left="0.7" right="0.7" top="0.75" bottom="0.75" header="0.3" footer="0.3"/>
  <pageSetup scale="10" orientation="portrait" horizontalDpi="203" verticalDpi="203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58249-8C9B-44C8-9B96-D18D8749D0D5}">
  <sheetPr codeName="Sheet3">
    <tabColor theme="9" tint="0.39997558519241921"/>
    <pageSetUpPr fitToPage="1"/>
  </sheetPr>
  <dimension ref="A1:BZ66"/>
  <sheetViews>
    <sheetView zoomScale="85" zoomScaleNormal="85" workbookViewId="0">
      <selection activeCell="L90" sqref="L90"/>
    </sheetView>
  </sheetViews>
  <sheetFormatPr baseColWidth="10" defaultColWidth="8.83203125" defaultRowHeight="15" x14ac:dyDescent="0.2"/>
  <cols>
    <col min="1" max="1" width="25.6640625" bestFit="1" customWidth="1"/>
    <col min="2" max="3" width="8.33203125" bestFit="1" customWidth="1"/>
    <col min="4" max="4" width="11.5" bestFit="1" customWidth="1"/>
    <col min="5" max="5" width="9" bestFit="1" customWidth="1"/>
    <col min="6" max="6" width="6.5" bestFit="1" customWidth="1"/>
    <col min="7" max="7" width="0" hidden="1" customWidth="1"/>
  </cols>
  <sheetData>
    <row r="1" spans="1:7" ht="14.75" customHeight="1" x14ac:dyDescent="0.2">
      <c r="A1" s="51" t="s">
        <v>0</v>
      </c>
      <c r="B1" s="52"/>
      <c r="C1" s="52"/>
      <c r="D1" s="52"/>
      <c r="E1" s="52"/>
      <c r="F1" s="53"/>
    </row>
    <row r="2" spans="1:7" ht="14.75" customHeight="1" x14ac:dyDescent="0.2">
      <c r="A2" s="54"/>
      <c r="B2" s="55"/>
      <c r="C2" s="55"/>
      <c r="D2" s="55"/>
      <c r="E2" s="55"/>
      <c r="F2" s="56"/>
    </row>
    <row r="3" spans="1:7" ht="14.75" customHeight="1" thickBot="1" x14ac:dyDescent="0.25">
      <c r="A3" s="57"/>
      <c r="B3" s="58"/>
      <c r="C3" s="58"/>
      <c r="D3" s="58"/>
      <c r="E3" s="58"/>
      <c r="F3" s="59"/>
    </row>
    <row r="4" spans="1:7" ht="14.75" customHeight="1" x14ac:dyDescent="0.2">
      <c r="A4" s="60" t="s">
        <v>27</v>
      </c>
      <c r="B4" s="61"/>
      <c r="C4" s="61"/>
      <c r="D4" s="61"/>
      <c r="E4" s="61"/>
      <c r="F4" s="62"/>
    </row>
    <row r="5" spans="1:7" ht="14.75" customHeight="1" thickBot="1" x14ac:dyDescent="0.25">
      <c r="A5" s="63"/>
      <c r="B5" s="64"/>
      <c r="C5" s="64"/>
      <c r="D5" s="64"/>
      <c r="E5" s="64"/>
      <c r="F5" s="65"/>
    </row>
    <row r="6" spans="1:7" ht="16" thickBot="1" x14ac:dyDescent="0.25">
      <c r="A6" s="3" t="s">
        <v>1</v>
      </c>
      <c r="B6" s="25" t="s">
        <v>2</v>
      </c>
      <c r="C6" s="23" t="s">
        <v>24</v>
      </c>
      <c r="D6" s="23" t="s">
        <v>25</v>
      </c>
      <c r="E6" s="23" t="s">
        <v>26</v>
      </c>
      <c r="F6" s="26" t="s">
        <v>10</v>
      </c>
    </row>
    <row r="7" spans="1:7" x14ac:dyDescent="0.2">
      <c r="A7" s="2" t="s">
        <v>12</v>
      </c>
      <c r="B7" s="35">
        <f>IF([1]Bashar!B7=0,"",[1]Bashar!B7)</f>
        <v>87</v>
      </c>
      <c r="C7" s="35">
        <f>IF([1]Bashar!C7=0,"",[1]Bashar!C7)</f>
        <v>121</v>
      </c>
      <c r="D7" s="35" t="str">
        <f>IF([1]Bashar!D7=0,"",[1]Bashar!D7)</f>
        <v/>
      </c>
      <c r="E7" s="35" t="str">
        <f>IF([1]Bashar!E7=0,"",[1]Bashar!E7)</f>
        <v/>
      </c>
      <c r="F7" s="36" t="str">
        <f>IF([1]Bashar!F7=0,"",[1]Bashar!F7)</f>
        <v/>
      </c>
      <c r="G7">
        <f>IF(SUM(B7,C7,D7,E7,F7)=0,"",SUM(B7,C7,D7,E7,F7))</f>
        <v>208</v>
      </c>
    </row>
    <row r="8" spans="1:7" x14ac:dyDescent="0.2">
      <c r="A8" s="2" t="s">
        <v>13</v>
      </c>
      <c r="B8" s="37" t="str">
        <f>IF([1]Bashar!B8=0,"",[1]Bashar!B8)</f>
        <v/>
      </c>
      <c r="C8" s="37" t="str">
        <f>IF([1]Bashar!C8=0,"",[1]Bashar!C8)</f>
        <v/>
      </c>
      <c r="D8" s="37" t="str">
        <f>IF([1]Bashar!D8=0,"",[1]Bashar!D8)</f>
        <v/>
      </c>
      <c r="E8" s="37" t="str">
        <f>IF([1]Bashar!E8=0,"",[1]Bashar!E8)</f>
        <v/>
      </c>
      <c r="F8" s="38" t="str">
        <f>IF([1]Bashar!F8=0,"",[1]Bashar!F8)</f>
        <v/>
      </c>
      <c r="G8" t="str">
        <f t="shared" ref="G8:G19" si="0">IF(SUM(B8,C8,D8,E8,F8)=0,"",SUM(B8,C8,D8,E8,F8))</f>
        <v/>
      </c>
    </row>
    <row r="9" spans="1:7" x14ac:dyDescent="0.2">
      <c r="A9" s="2" t="s">
        <v>14</v>
      </c>
      <c r="B9" s="39" t="str">
        <f>IF([1]Bashar!B9=0,"",[1]Bashar!B9)</f>
        <v/>
      </c>
      <c r="C9" s="39" t="str">
        <f>IF([1]Bashar!C9=0,"",[1]Bashar!C9)</f>
        <v/>
      </c>
      <c r="D9" s="39" t="str">
        <f>IF([1]Bashar!D9=0,"",[1]Bashar!D9)</f>
        <v/>
      </c>
      <c r="E9" s="39" t="str">
        <f>IF([1]Bashar!E9=0,"",[1]Bashar!E9)</f>
        <v/>
      </c>
      <c r="F9" s="40" t="str">
        <f>IF([1]Bashar!F9=0,"",[1]Bashar!F9)</f>
        <v/>
      </c>
      <c r="G9" t="str">
        <f t="shared" si="0"/>
        <v/>
      </c>
    </row>
    <row r="10" spans="1:7" x14ac:dyDescent="0.2">
      <c r="A10" s="2" t="s">
        <v>15</v>
      </c>
      <c r="B10" s="37" t="str">
        <f>IF([1]Bashar!B10=0,"",[1]Bashar!B10)</f>
        <v/>
      </c>
      <c r="C10" s="37" t="str">
        <f>IF([1]Bashar!C10=0,"",[1]Bashar!C10)</f>
        <v/>
      </c>
      <c r="D10" s="37" t="str">
        <f>IF([1]Bashar!D10=0,"",[1]Bashar!D10)</f>
        <v/>
      </c>
      <c r="E10" s="37" t="str">
        <f>IF([1]Bashar!E10=0,"",[1]Bashar!E10)</f>
        <v/>
      </c>
      <c r="F10" s="38" t="str">
        <f>IF([1]Bashar!F10=0,"",[1]Bashar!F10)</f>
        <v/>
      </c>
      <c r="G10" t="str">
        <f t="shared" si="0"/>
        <v/>
      </c>
    </row>
    <row r="11" spans="1:7" x14ac:dyDescent="0.2">
      <c r="A11" s="2" t="s">
        <v>16</v>
      </c>
      <c r="B11" s="39" t="str">
        <f>IF([1]Bashar!B11=0,"",[1]Bashar!B11)</f>
        <v/>
      </c>
      <c r="C11" s="39" t="str">
        <f>IF([1]Bashar!C11=0,"",[1]Bashar!C11)</f>
        <v/>
      </c>
      <c r="D11" s="39" t="str">
        <f>IF([1]Bashar!D11=0,"",[1]Bashar!D11)</f>
        <v/>
      </c>
      <c r="E11" s="39" t="str">
        <f>IF([1]Bashar!E11=0,"",[1]Bashar!E11)</f>
        <v/>
      </c>
      <c r="F11" s="40" t="str">
        <f>IF([1]Bashar!F11=0,"",[1]Bashar!F11)</f>
        <v/>
      </c>
      <c r="G11" t="str">
        <f t="shared" si="0"/>
        <v/>
      </c>
    </row>
    <row r="12" spans="1:7" x14ac:dyDescent="0.2">
      <c r="A12" s="2" t="s">
        <v>17</v>
      </c>
      <c r="B12" s="37" t="str">
        <f>IF([1]Bashar!B12=0,"",[1]Bashar!B12)</f>
        <v/>
      </c>
      <c r="C12" s="37" t="str">
        <f>IF([1]Bashar!C12=0,"",[1]Bashar!C12)</f>
        <v/>
      </c>
      <c r="D12" s="37" t="str">
        <f>IF([1]Bashar!D12=0,"",[1]Bashar!D12)</f>
        <v/>
      </c>
      <c r="E12" s="37" t="str">
        <f>IF([1]Bashar!E12=0,"",[1]Bashar!E12)</f>
        <v/>
      </c>
      <c r="F12" s="38" t="str">
        <f>IF([1]Bashar!F12=0,"",[1]Bashar!F12)</f>
        <v/>
      </c>
      <c r="G12" t="str">
        <f t="shared" si="0"/>
        <v/>
      </c>
    </row>
    <row r="13" spans="1:7" x14ac:dyDescent="0.2">
      <c r="A13" s="2" t="s">
        <v>18</v>
      </c>
      <c r="B13" s="39" t="str">
        <f>IF([1]Bashar!B13=0,"",[1]Bashar!B13)</f>
        <v/>
      </c>
      <c r="C13" s="39" t="str">
        <f>IF([1]Bashar!C13=0,"",[1]Bashar!C13)</f>
        <v/>
      </c>
      <c r="D13" s="39" t="str">
        <f>IF([1]Bashar!D13=0,"",[1]Bashar!D13)</f>
        <v/>
      </c>
      <c r="E13" s="39" t="str">
        <f>IF([1]Bashar!E13=0,"",[1]Bashar!E13)</f>
        <v/>
      </c>
      <c r="F13" s="40" t="str">
        <f>IF([1]Bashar!F13=0,"",[1]Bashar!F13)</f>
        <v/>
      </c>
      <c r="G13" t="str">
        <f t="shared" si="0"/>
        <v/>
      </c>
    </row>
    <row r="14" spans="1:7" x14ac:dyDescent="0.2">
      <c r="A14" s="2" t="s">
        <v>19</v>
      </c>
      <c r="B14" s="37" t="str">
        <f>IF([1]Bashar!B14=0,"",[1]Bashar!B14)</f>
        <v/>
      </c>
      <c r="C14" s="37" t="str">
        <f>IF([1]Bashar!C14=0,"",[1]Bashar!C14)</f>
        <v/>
      </c>
      <c r="D14" s="37" t="str">
        <f>IF([1]Bashar!D14=0,"",[1]Bashar!D14)</f>
        <v/>
      </c>
      <c r="E14" s="37" t="str">
        <f>IF([1]Bashar!E14=0,"",[1]Bashar!E14)</f>
        <v/>
      </c>
      <c r="F14" s="38" t="str">
        <f>IF([1]Bashar!F14=0,"",[1]Bashar!F14)</f>
        <v/>
      </c>
      <c r="G14" t="str">
        <f t="shared" si="0"/>
        <v/>
      </c>
    </row>
    <row r="15" spans="1:7" x14ac:dyDescent="0.2">
      <c r="A15" s="2" t="s">
        <v>20</v>
      </c>
      <c r="B15" s="39" t="str">
        <f>IF([1]Bashar!B15=0,"",[1]Bashar!B15)</f>
        <v/>
      </c>
      <c r="C15" s="39" t="str">
        <f>IF([1]Bashar!C15=0,"",[1]Bashar!C15)</f>
        <v/>
      </c>
      <c r="D15" s="39" t="str">
        <f>IF([1]Bashar!D15=0,"",[1]Bashar!D15)</f>
        <v/>
      </c>
      <c r="E15" s="39" t="str">
        <f>IF([1]Bashar!E15=0,"",[1]Bashar!E15)</f>
        <v/>
      </c>
      <c r="F15" s="40" t="str">
        <f>IF([1]Bashar!F15=0,"",[1]Bashar!F15)</f>
        <v/>
      </c>
      <c r="G15" t="str">
        <f t="shared" si="0"/>
        <v/>
      </c>
    </row>
    <row r="16" spans="1:7" x14ac:dyDescent="0.2">
      <c r="A16" s="2" t="s">
        <v>11</v>
      </c>
      <c r="B16" s="37" t="str">
        <f>IF([1]Bashar!B16=0,"",[1]Bashar!B16)</f>
        <v/>
      </c>
      <c r="C16" s="37" t="str">
        <f>IF([1]Bashar!C16=0,"",[1]Bashar!C16)</f>
        <v/>
      </c>
      <c r="D16" s="37" t="str">
        <f>IF([1]Bashar!D16=0,"",[1]Bashar!D16)</f>
        <v/>
      </c>
      <c r="E16" s="37" t="str">
        <f>IF([1]Bashar!E16=0,"",[1]Bashar!E16)</f>
        <v/>
      </c>
      <c r="F16" s="38" t="str">
        <f>IF([1]Bashar!F16=0,"",[1]Bashar!F16)</f>
        <v/>
      </c>
      <c r="G16" t="str">
        <f t="shared" si="0"/>
        <v/>
      </c>
    </row>
    <row r="17" spans="1:78" x14ac:dyDescent="0.2">
      <c r="A17" s="2" t="s">
        <v>21</v>
      </c>
      <c r="B17" s="39" t="str">
        <f>IF([1]Bashar!B17=0,"",[1]Bashar!B17)</f>
        <v/>
      </c>
      <c r="C17" s="39" t="str">
        <f>IF([1]Bashar!C17=0,"",[1]Bashar!C17)</f>
        <v/>
      </c>
      <c r="D17" s="39" t="str">
        <f>IF([1]Bashar!D17=0,"",[1]Bashar!D17)</f>
        <v/>
      </c>
      <c r="E17" s="39" t="str">
        <f>IF([1]Bashar!E17=0,"",[1]Bashar!E17)</f>
        <v/>
      </c>
      <c r="F17" s="40" t="str">
        <f>IF([1]Bashar!F17=0,"",[1]Bashar!F17)</f>
        <v/>
      </c>
      <c r="G17" t="str">
        <f t="shared" si="0"/>
        <v/>
      </c>
    </row>
    <row r="18" spans="1:78" x14ac:dyDescent="0.2">
      <c r="A18" s="2" t="s">
        <v>22</v>
      </c>
      <c r="B18" s="37" t="str">
        <f>IF([1]Bashar!B18=0,"",[1]Bashar!B18)</f>
        <v/>
      </c>
      <c r="C18" s="37" t="str">
        <f>IF([1]Bashar!C18=0,"",[1]Bashar!C18)</f>
        <v/>
      </c>
      <c r="D18" s="37" t="str">
        <f>IF([1]Bashar!D18=0,"",[1]Bashar!D18)</f>
        <v/>
      </c>
      <c r="E18" s="37" t="str">
        <f>IF([1]Bashar!E18=0,"",[1]Bashar!E18)</f>
        <v/>
      </c>
      <c r="F18" s="38" t="str">
        <f>IF([1]Bashar!F18=0,"",[1]Bashar!F18)</f>
        <v/>
      </c>
      <c r="G18" t="str">
        <f t="shared" si="0"/>
        <v/>
      </c>
    </row>
    <row r="19" spans="1:78" s="1" customFormat="1" ht="16" thickBot="1" x14ac:dyDescent="0.25">
      <c r="A19" s="2" t="s">
        <v>23</v>
      </c>
      <c r="B19" s="41">
        <f>IF([1]Bashar!B19=0,"",[1]Bashar!B19)</f>
        <v>35</v>
      </c>
      <c r="C19" s="41" t="str">
        <f>IF([1]Bashar!C19=0,"",[1]Bashar!C19)</f>
        <v/>
      </c>
      <c r="D19" s="41" t="str">
        <f>IF([1]Bashar!D19=0,"",[1]Bashar!D19)</f>
        <v/>
      </c>
      <c r="E19" s="41" t="str">
        <f>IF([1]Bashar!E19=0,"",[1]Bashar!E19)</f>
        <v/>
      </c>
      <c r="F19" s="42" t="str">
        <f>IF([1]Bashar!F19=0,"",[1]Bashar!F19)</f>
        <v/>
      </c>
      <c r="G19">
        <f t="shared" si="0"/>
        <v>35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</row>
    <row r="20" spans="1:78" s="1" customFormat="1" ht="16" thickBot="1" x14ac:dyDescent="0.25">
      <c r="A20" s="27" t="s">
        <v>9</v>
      </c>
      <c r="B20" s="28">
        <f t="shared" ref="B20:F20" si="1">IF(SUM(B7:B19)=0,"",SUM(B7:B19))</f>
        <v>122</v>
      </c>
      <c r="C20" s="28">
        <f t="shared" si="1"/>
        <v>121</v>
      </c>
      <c r="D20" s="28" t="str">
        <f t="shared" si="1"/>
        <v/>
      </c>
      <c r="E20" s="28" t="str">
        <f t="shared" si="1"/>
        <v/>
      </c>
      <c r="F20" s="29" t="str">
        <f t="shared" si="1"/>
        <v/>
      </c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</row>
    <row r="21" spans="1:78" s="1" customFormat="1" x14ac:dyDescent="0.2">
      <c r="A21" s="30"/>
      <c r="B21" s="31" t="s">
        <v>2</v>
      </c>
      <c r="C21" s="31" t="s">
        <v>24</v>
      </c>
      <c r="D21" s="31" t="s">
        <v>25</v>
      </c>
      <c r="E21" s="31" t="s">
        <v>26</v>
      </c>
      <c r="F21" s="32" t="s">
        <v>10</v>
      </c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</row>
    <row r="22" spans="1:78" s="1" customFormat="1" ht="14.75" customHeight="1" x14ac:dyDescent="0.2">
      <c r="A22" s="33" t="s">
        <v>28</v>
      </c>
      <c r="B22" s="43">
        <f>IF([1]Bashar!B22=0,"",[1]Bashar!B22)</f>
        <v>8</v>
      </c>
      <c r="C22" s="43">
        <f>IF([1]Bashar!C22=0,"",[1]Bashar!C22)</f>
        <v>8</v>
      </c>
      <c r="D22" s="43" t="str">
        <f>IF([1]Bashar!D22=0,"",[1]Bashar!D22)</f>
        <v/>
      </c>
      <c r="E22" s="43" t="str">
        <f>IF([1]Bashar!E22=0,"",[1]Bashar!E22)</f>
        <v/>
      </c>
      <c r="F22" s="44" t="str">
        <f>IF([1]Bashar!F22=0,"",[1]Bashar!F22)</f>
        <v/>
      </c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</row>
    <row r="23" spans="1:78" s="1" customFormat="1" ht="14.5" customHeight="1" thickBot="1" x14ac:dyDescent="0.25">
      <c r="A23" s="33" t="s">
        <v>29</v>
      </c>
      <c r="B23" s="43" t="str">
        <f>IF([1]Bashar!B23=0,"",[1]Bashar!B23)</f>
        <v/>
      </c>
      <c r="C23" s="43" t="str">
        <f>IF([1]Bashar!C23=0,"",[1]Bashar!C23)</f>
        <v/>
      </c>
      <c r="D23" s="43" t="str">
        <f>IF([1]Bashar!D23=0,"",[1]Bashar!D23)</f>
        <v/>
      </c>
      <c r="E23" s="43" t="str">
        <f>IF([1]Bashar!E23=0,"",[1]Bashar!E23)</f>
        <v/>
      </c>
      <c r="F23" s="44" t="str">
        <f>IF([1]Bashar!F23=0,"",[1]Bashar!F23)</f>
        <v/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78" s="1" customFormat="1" ht="15" customHeight="1" x14ac:dyDescent="0.2">
      <c r="A24" s="72" t="s">
        <v>8</v>
      </c>
      <c r="B24" s="73"/>
      <c r="C24" s="73"/>
      <c r="D24" s="73"/>
      <c r="E24" s="73"/>
      <c r="F24" s="7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78" s="1" customFormat="1" ht="15.75" customHeight="1" thickBot="1" x14ac:dyDescent="0.25">
      <c r="A25" s="75"/>
      <c r="B25" s="76"/>
      <c r="C25" s="76"/>
      <c r="D25" s="76"/>
      <c r="E25" s="76"/>
      <c r="F25" s="77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78" s="1" customFormat="1" ht="30" customHeight="1" x14ac:dyDescent="0.2">
      <c r="A26" s="78" t="s">
        <v>7</v>
      </c>
      <c r="B26" s="79" t="str">
        <f>IF([1]Bashar!B26=0,"",[1]Bashar!B26)</f>
        <v xml:space="preserve">and I process 32 devices to Liquadation </v>
      </c>
      <c r="C26" s="79"/>
      <c r="D26" s="79"/>
      <c r="E26" s="79"/>
      <c r="F26" s="80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78" s="1" customFormat="1" ht="30" customHeight="1" x14ac:dyDescent="0.2">
      <c r="A27" s="66"/>
      <c r="B27" s="67"/>
      <c r="C27" s="67"/>
      <c r="D27" s="67"/>
      <c r="E27" s="67"/>
      <c r="F27" s="68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78" s="1" customFormat="1" ht="30" customHeight="1" x14ac:dyDescent="0.2">
      <c r="A28" s="66" t="s">
        <v>6</v>
      </c>
      <c r="B28" s="67" t="str">
        <f>IF([1]Bashar!B28=0,"",[1]Bashar!B28)</f>
        <v xml:space="preserve">0.5 meeting and 25 devices to liquadation </v>
      </c>
      <c r="C28" s="67"/>
      <c r="D28" s="67"/>
      <c r="E28" s="67"/>
      <c r="F28" s="6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78" s="1" customFormat="1" ht="30" customHeight="1" x14ac:dyDescent="0.2">
      <c r="A29" s="66"/>
      <c r="B29" s="67"/>
      <c r="C29" s="67"/>
      <c r="D29" s="67"/>
      <c r="E29" s="67"/>
      <c r="F29" s="68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78" s="1" customFormat="1" ht="30" customHeight="1" x14ac:dyDescent="0.2">
      <c r="A30" s="66" t="s">
        <v>3</v>
      </c>
      <c r="B30" s="67" t="str">
        <f>IF([1]Bashar!B30=0,"",[1]Bashar!B30)</f>
        <v/>
      </c>
      <c r="C30" s="67"/>
      <c r="D30" s="67"/>
      <c r="E30" s="67"/>
      <c r="F30" s="68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78" s="1" customFormat="1" ht="30" customHeight="1" x14ac:dyDescent="0.2">
      <c r="A31" s="66"/>
      <c r="B31" s="67"/>
      <c r="C31" s="67"/>
      <c r="D31" s="67"/>
      <c r="E31" s="67"/>
      <c r="F31" s="68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78" s="1" customFormat="1" ht="30" customHeight="1" x14ac:dyDescent="0.2">
      <c r="A32" s="66" t="s">
        <v>4</v>
      </c>
      <c r="B32" s="67" t="str">
        <f>IF([1]Bashar!B32=0,"",[1]Bashar!B32)</f>
        <v/>
      </c>
      <c r="C32" s="67"/>
      <c r="D32" s="67"/>
      <c r="E32" s="67"/>
      <c r="F32" s="68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70" s="1" customFormat="1" ht="30" customHeight="1" x14ac:dyDescent="0.2">
      <c r="A33" s="66"/>
      <c r="B33" s="67"/>
      <c r="C33" s="67"/>
      <c r="D33" s="67"/>
      <c r="E33" s="67"/>
      <c r="F33" s="68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70" s="1" customFormat="1" ht="30" customHeight="1" x14ac:dyDescent="0.2">
      <c r="A34" s="66" t="s">
        <v>5</v>
      </c>
      <c r="B34" s="67" t="str">
        <f>IF([1]Bashar!B34=0,"",[1]Bashar!B34)</f>
        <v/>
      </c>
      <c r="C34" s="67"/>
      <c r="D34" s="67"/>
      <c r="E34" s="67"/>
      <c r="F34" s="68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70" s="1" customFormat="1" ht="30" customHeight="1" thickBot="1" x14ac:dyDescent="0.25">
      <c r="A35" s="69"/>
      <c r="B35" s="70"/>
      <c r="C35" s="70"/>
      <c r="D35" s="70"/>
      <c r="E35" s="70"/>
      <c r="F35" s="71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70" s="1" customFormat="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70" s="1" customForma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70" s="1" customFormat="1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</row>
    <row r="39" spans="1:70" s="1" customFormat="1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</row>
    <row r="40" spans="1:70" s="1" customFormat="1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</row>
    <row r="41" spans="1:70" s="1" customFormat="1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</row>
    <row r="42" spans="1:70" s="1" customFormat="1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</row>
    <row r="43" spans="1:70" s="1" customFormat="1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</row>
    <row r="44" spans="1:70" s="1" customFormat="1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</row>
    <row r="45" spans="1:70" s="1" customFormat="1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</row>
    <row r="46" spans="1:70" s="1" customFormat="1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</row>
    <row r="47" spans="1:70" s="1" customFormat="1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</row>
    <row r="48" spans="1:70" s="1" customFormat="1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</row>
    <row r="49" spans="1:78" s="1" customFormat="1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</row>
    <row r="50" spans="1:78" s="1" customFormat="1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</row>
    <row r="51" spans="1:78" s="1" customFormat="1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</row>
    <row r="52" spans="1:78" s="1" customFormat="1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</row>
    <row r="53" spans="1:78" s="1" customFormat="1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</row>
    <row r="54" spans="1:78" s="1" customFormat="1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</row>
    <row r="55" spans="1:78" s="1" customFormat="1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</row>
    <row r="56" spans="1:78" s="1" customFormat="1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</row>
    <row r="57" spans="1:78" s="1" customFormat="1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</row>
    <row r="58" spans="1:78" s="1" customFormat="1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</row>
    <row r="59" spans="1:78" s="1" customFormat="1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</row>
    <row r="60" spans="1:78" s="1" customFormat="1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</row>
    <row r="61" spans="1:78" s="1" customFormat="1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</row>
    <row r="62" spans="1:78" s="1" customFormat="1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</row>
    <row r="63" spans="1:78" s="1" customFormat="1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</row>
    <row r="64" spans="1:78" s="1" customFormat="1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</row>
    <row r="65" spans="1:78" s="1" customFormat="1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</row>
    <row r="66" spans="1:78" s="1" customFormat="1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</row>
  </sheetData>
  <sheetProtection algorithmName="SHA-512" hashValue="vFM0r+xTJ5birFJxRXxEfNt0R25LmFBKIOTdP3VFQbJmHcEqd9MeCstM0yBZkFKPVEdbleDMGz89OJNCiGfrJQ==" saltValue="K8dgPYEjSA4Rb03OGfUytA==" spinCount="100000" sheet="1" objects="1" scenarios="1"/>
  <dataConsolidate>
    <dataRefs count="4">
      <dataRef ref="C11:H28" sheet="Bashar" r:id="rId1"/>
      <dataRef ref="C11:H28" sheet="Darius" r:id="rId2"/>
      <dataRef ref="C11:H28" sheet="George" r:id="rId3"/>
      <dataRef ref="C11:H28" sheet="Rich" r:id="rId4"/>
    </dataRefs>
  </dataConsolidate>
  <mergeCells count="13">
    <mergeCell ref="A28:A29"/>
    <mergeCell ref="B28:F29"/>
    <mergeCell ref="A1:F3"/>
    <mergeCell ref="A4:F5"/>
    <mergeCell ref="A24:F25"/>
    <mergeCell ref="A26:A27"/>
    <mergeCell ref="B26:F27"/>
    <mergeCell ref="A30:A31"/>
    <mergeCell ref="B30:F31"/>
    <mergeCell ref="A32:A33"/>
    <mergeCell ref="B32:F33"/>
    <mergeCell ref="A34:A35"/>
    <mergeCell ref="B34:F35"/>
  </mergeCells>
  <pageMargins left="0.7" right="0.7" top="0.75" bottom="0.75" header="0.3" footer="0.3"/>
  <pageSetup scale="10" orientation="portrait" horizontalDpi="203" verticalDpi="203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A4ED1-A50C-4350-9CA5-E022DBE7F85A}">
  <sheetPr codeName="Sheet5">
    <tabColor theme="9" tint="0.39997558519241921"/>
    <pageSetUpPr fitToPage="1"/>
  </sheetPr>
  <dimension ref="A1:BZ66"/>
  <sheetViews>
    <sheetView topLeftCell="A4" zoomScaleNormal="100" workbookViewId="0">
      <selection activeCell="D13" sqref="D13"/>
    </sheetView>
  </sheetViews>
  <sheetFormatPr baseColWidth="10" defaultColWidth="8.83203125" defaultRowHeight="15" x14ac:dyDescent="0.2"/>
  <cols>
    <col min="1" max="1" width="25.6640625" bestFit="1" customWidth="1"/>
    <col min="2" max="3" width="8.33203125" bestFit="1" customWidth="1"/>
    <col min="4" max="4" width="11.5" bestFit="1" customWidth="1"/>
    <col min="5" max="5" width="9" bestFit="1" customWidth="1"/>
    <col min="6" max="6" width="6.5" bestFit="1" customWidth="1"/>
    <col min="7" max="7" width="0" hidden="1" customWidth="1"/>
  </cols>
  <sheetData>
    <row r="1" spans="1:7" ht="14.75" customHeight="1" x14ac:dyDescent="0.2">
      <c r="A1" s="51" t="s">
        <v>0</v>
      </c>
      <c r="B1" s="52"/>
      <c r="C1" s="52"/>
      <c r="D1" s="52"/>
      <c r="E1" s="52"/>
      <c r="F1" s="53"/>
    </row>
    <row r="2" spans="1:7" ht="14.75" customHeight="1" x14ac:dyDescent="0.2">
      <c r="A2" s="54"/>
      <c r="B2" s="55"/>
      <c r="C2" s="55"/>
      <c r="D2" s="55"/>
      <c r="E2" s="55"/>
      <c r="F2" s="56"/>
    </row>
    <row r="3" spans="1:7" ht="14.75" customHeight="1" thickBot="1" x14ac:dyDescent="0.25">
      <c r="A3" s="57"/>
      <c r="B3" s="58"/>
      <c r="C3" s="58"/>
      <c r="D3" s="58"/>
      <c r="E3" s="58"/>
      <c r="F3" s="59"/>
    </row>
    <row r="4" spans="1:7" ht="14.75" customHeight="1" x14ac:dyDescent="0.2">
      <c r="A4" s="60" t="s">
        <v>27</v>
      </c>
      <c r="B4" s="61"/>
      <c r="C4" s="61"/>
      <c r="D4" s="61"/>
      <c r="E4" s="61"/>
      <c r="F4" s="62"/>
    </row>
    <row r="5" spans="1:7" ht="14.75" customHeight="1" thickBot="1" x14ac:dyDescent="0.25">
      <c r="A5" s="63"/>
      <c r="B5" s="64"/>
      <c r="C5" s="64"/>
      <c r="D5" s="64"/>
      <c r="E5" s="64"/>
      <c r="F5" s="65"/>
    </row>
    <row r="6" spans="1:7" ht="16" thickBot="1" x14ac:dyDescent="0.25">
      <c r="A6" s="3" t="s">
        <v>1</v>
      </c>
      <c r="B6" s="25" t="s">
        <v>2</v>
      </c>
      <c r="C6" s="23" t="s">
        <v>24</v>
      </c>
      <c r="D6" s="23" t="s">
        <v>25</v>
      </c>
      <c r="E6" s="23" t="s">
        <v>26</v>
      </c>
      <c r="F6" s="26" t="s">
        <v>10</v>
      </c>
    </row>
    <row r="7" spans="1:7" x14ac:dyDescent="0.2">
      <c r="A7" s="2" t="s">
        <v>12</v>
      </c>
      <c r="B7" s="35" t="str">
        <f>IF([2]Charles!B7=0,"",[2]Charles!B7)</f>
        <v/>
      </c>
      <c r="C7" s="35" t="str">
        <f>IF([2]Charles!C7=0,"",[2]Charles!C7)</f>
        <v/>
      </c>
      <c r="D7" s="35" t="str">
        <f>IF([2]Charles!D7=0,"",[2]Charles!D7)</f>
        <v/>
      </c>
      <c r="E7" s="46" t="str">
        <f>IF([2]Charles!E7=0,"",[2]Charles!E7)</f>
        <v/>
      </c>
      <c r="F7" s="36" t="str">
        <f>IF([2]Charles!F7=0,"",[2]Charles!F7)</f>
        <v/>
      </c>
      <c r="G7" t="str">
        <f>IF(SUM(B7,C7,D7,E7,F7)=0,"",SUM(B7,C7,D7,E7,F7))</f>
        <v/>
      </c>
    </row>
    <row r="8" spans="1:7" x14ac:dyDescent="0.2">
      <c r="A8" s="2" t="s">
        <v>13</v>
      </c>
      <c r="B8" s="37" t="str">
        <f>IF([2]Charles!B8=0,"",[2]Charles!B8)</f>
        <v/>
      </c>
      <c r="C8" s="37" t="str">
        <f>IF([2]Charles!C8=0,"",[2]Charles!C8)</f>
        <v/>
      </c>
      <c r="D8" s="37" t="str">
        <f>IF([2]Charles!D8=0,"",[2]Charles!D8)</f>
        <v/>
      </c>
      <c r="E8" s="47" t="str">
        <f>IF([2]Charles!E8=0,"",[2]Charles!E8)</f>
        <v/>
      </c>
      <c r="F8" s="38" t="str">
        <f>IF([2]Charles!F8=0,"",[2]Charles!F8)</f>
        <v/>
      </c>
      <c r="G8" t="str">
        <f t="shared" ref="G8:G19" si="0">IF(SUM(B8,C8,D8,E8,F8)=0,"",SUM(B8,C8,D8,E8,F8))</f>
        <v/>
      </c>
    </row>
    <row r="9" spans="1:7" x14ac:dyDescent="0.2">
      <c r="A9" s="2" t="s">
        <v>14</v>
      </c>
      <c r="B9" s="39" t="str">
        <f>IF([2]Charles!B9=0,"",[2]Charles!B9)</f>
        <v/>
      </c>
      <c r="C9" s="39" t="str">
        <f>IF([2]Charles!C9=0,"",[2]Charles!C9)</f>
        <v/>
      </c>
      <c r="D9" s="39" t="str">
        <f>IF([2]Charles!D9=0,"",[2]Charles!D9)</f>
        <v/>
      </c>
      <c r="E9" s="48" t="str">
        <f>IF([2]Charles!E9=0,"",[2]Charles!E9)</f>
        <v/>
      </c>
      <c r="F9" s="40" t="str">
        <f>IF([2]Charles!F9=0,"",[2]Charles!F9)</f>
        <v/>
      </c>
      <c r="G9" t="str">
        <f t="shared" si="0"/>
        <v/>
      </c>
    </row>
    <row r="10" spans="1:7" x14ac:dyDescent="0.2">
      <c r="A10" s="2" t="s">
        <v>15</v>
      </c>
      <c r="B10" s="37" t="str">
        <f>IF([2]Charles!B10=0,"",[2]Charles!B10)</f>
        <v/>
      </c>
      <c r="C10" s="37" t="str">
        <f>IF([2]Charles!C10=0,"",[2]Charles!C10)</f>
        <v/>
      </c>
      <c r="D10" s="37" t="str">
        <f>IF([2]Charles!D10=0,"",[2]Charles!D10)</f>
        <v/>
      </c>
      <c r="E10" s="47" t="str">
        <f>IF([2]Charles!E10=0,"",[2]Charles!E10)</f>
        <v/>
      </c>
      <c r="F10" s="38" t="str">
        <f>IF([2]Charles!F10=0,"",[2]Charles!F10)</f>
        <v/>
      </c>
      <c r="G10" t="str">
        <f t="shared" si="0"/>
        <v/>
      </c>
    </row>
    <row r="11" spans="1:7" x14ac:dyDescent="0.2">
      <c r="A11" s="2" t="s">
        <v>16</v>
      </c>
      <c r="B11" s="39" t="str">
        <f>IF([2]Charles!B11=0,"",[2]Charles!B11)</f>
        <v/>
      </c>
      <c r="C11" s="39" t="str">
        <f>IF([2]Charles!C11=0,"",[2]Charles!C11)</f>
        <v/>
      </c>
      <c r="D11" s="39" t="str">
        <f>IF([2]Charles!D11=0,"",[2]Charles!D11)</f>
        <v/>
      </c>
      <c r="E11" s="48" t="str">
        <f>IF([2]Charles!E11=0,"",[2]Charles!E11)</f>
        <v/>
      </c>
      <c r="F11" s="40" t="str">
        <f>IF([2]Charles!F11=0,"",[2]Charles!F11)</f>
        <v/>
      </c>
      <c r="G11" t="str">
        <f t="shared" si="0"/>
        <v/>
      </c>
    </row>
    <row r="12" spans="1:7" x14ac:dyDescent="0.2">
      <c r="A12" s="2" t="s">
        <v>17</v>
      </c>
      <c r="B12" s="37" t="str">
        <f>IF([2]Charles!B12=0,"",[2]Charles!B12)</f>
        <v/>
      </c>
      <c r="C12" s="37" t="str">
        <f>IF([2]Charles!C12=0,"",[2]Charles!C12)</f>
        <v/>
      </c>
      <c r="D12" s="37" t="str">
        <f>IF([2]Charles!D12=0,"",[2]Charles!D12)</f>
        <v/>
      </c>
      <c r="E12" s="47" t="str">
        <f>IF([2]Charles!E12=0,"",[2]Charles!E12)</f>
        <v/>
      </c>
      <c r="F12" s="38" t="str">
        <f>IF([2]Charles!F12=0,"",[2]Charles!F12)</f>
        <v/>
      </c>
      <c r="G12" t="str">
        <f t="shared" si="0"/>
        <v/>
      </c>
    </row>
    <row r="13" spans="1:7" x14ac:dyDescent="0.2">
      <c r="A13" s="2" t="s">
        <v>18</v>
      </c>
      <c r="B13" s="39" t="str">
        <f>IF([2]Charles!B13=0,"",[2]Charles!B13)</f>
        <v/>
      </c>
      <c r="C13" s="39" t="str">
        <f>IF([2]Charles!C13=0,"",[2]Charles!C13)</f>
        <v/>
      </c>
      <c r="D13" s="39" t="str">
        <f>IF([2]Charles!D13=0,"",[2]Charles!D13)</f>
        <v/>
      </c>
      <c r="E13" s="48" t="str">
        <f>IF([2]Charles!E13=0,"",[2]Charles!E13)</f>
        <v/>
      </c>
      <c r="F13" s="40" t="str">
        <f>IF([2]Charles!F13=0,"",[2]Charles!F13)</f>
        <v/>
      </c>
      <c r="G13" t="str">
        <f t="shared" si="0"/>
        <v/>
      </c>
    </row>
    <row r="14" spans="1:7" x14ac:dyDescent="0.2">
      <c r="A14" s="2" t="s">
        <v>19</v>
      </c>
      <c r="B14" s="37" t="str">
        <f>IF([2]Charles!B14=0,"",[2]Charles!B14)</f>
        <v/>
      </c>
      <c r="C14" s="37" t="str">
        <f>IF([2]Charles!C14=0,"",[2]Charles!C14)</f>
        <v/>
      </c>
      <c r="D14" s="37" t="str">
        <f>IF([2]Charles!D14=0,"",[2]Charles!D14)</f>
        <v/>
      </c>
      <c r="E14" s="47" t="str">
        <f>IF([2]Charles!E14=0,"",[2]Charles!E14)</f>
        <v/>
      </c>
      <c r="F14" s="38" t="str">
        <f>IF([2]Charles!F14=0,"",[2]Charles!F14)</f>
        <v/>
      </c>
      <c r="G14" t="str">
        <f t="shared" si="0"/>
        <v/>
      </c>
    </row>
    <row r="15" spans="1:7" x14ac:dyDescent="0.2">
      <c r="A15" s="2" t="s">
        <v>20</v>
      </c>
      <c r="B15" s="39" t="str">
        <f>IF([2]Charles!B15=0,"",[2]Charles!B15)</f>
        <v/>
      </c>
      <c r="C15" s="39" t="str">
        <f>IF([2]Charles!C15=0,"",[2]Charles!C15)</f>
        <v/>
      </c>
      <c r="D15" s="39" t="str">
        <f>IF([2]Charles!D15=0,"",[2]Charles!D15)</f>
        <v/>
      </c>
      <c r="E15" s="48" t="str">
        <f>IF([2]Charles!E15=0,"",[2]Charles!E15)</f>
        <v/>
      </c>
      <c r="F15" s="40" t="str">
        <f>IF([2]Charles!F15=0,"",[2]Charles!F15)</f>
        <v/>
      </c>
      <c r="G15" t="str">
        <f t="shared" si="0"/>
        <v/>
      </c>
    </row>
    <row r="16" spans="1:7" x14ac:dyDescent="0.2">
      <c r="A16" s="2" t="s">
        <v>11</v>
      </c>
      <c r="B16" s="37" t="str">
        <f>IF([2]Charles!B16=0,"",[2]Charles!B16)</f>
        <v/>
      </c>
      <c r="C16" s="37" t="str">
        <f>IF([2]Charles!C16=0,"",[2]Charles!C16)</f>
        <v/>
      </c>
      <c r="D16" s="37" t="str">
        <f>IF([2]Charles!D16=0,"",[2]Charles!D16)</f>
        <v/>
      </c>
      <c r="E16" s="47" t="str">
        <f>IF([2]Charles!E16=0,"",[2]Charles!E16)</f>
        <v/>
      </c>
      <c r="F16" s="38" t="str">
        <f>IF([2]Charles!F16=0,"",[2]Charles!F16)</f>
        <v/>
      </c>
      <c r="G16" t="str">
        <f t="shared" si="0"/>
        <v/>
      </c>
    </row>
    <row r="17" spans="1:78" x14ac:dyDescent="0.2">
      <c r="A17" s="2" t="s">
        <v>21</v>
      </c>
      <c r="B17" s="39" t="str">
        <f>IF([2]Charles!B17=0,"",[2]Charles!B17)</f>
        <v/>
      </c>
      <c r="C17" s="39" t="str">
        <f>IF([2]Charles!C17=0,"",[2]Charles!C17)</f>
        <v/>
      </c>
      <c r="D17" s="39" t="str">
        <f>IF([2]Charles!D17=0,"",[2]Charles!D17)</f>
        <v/>
      </c>
      <c r="E17" s="48" t="str">
        <f>IF([2]Charles!E17=0,"",[2]Charles!E17)</f>
        <v/>
      </c>
      <c r="F17" s="40" t="str">
        <f>IF([2]Charles!F17=0,"",[2]Charles!F17)</f>
        <v/>
      </c>
      <c r="G17" t="str">
        <f t="shared" si="0"/>
        <v/>
      </c>
    </row>
    <row r="18" spans="1:78" x14ac:dyDescent="0.2">
      <c r="A18" s="2" t="s">
        <v>22</v>
      </c>
      <c r="B18" s="37" t="str">
        <f>IF([2]Charles!B18=0,"",[2]Charles!B18)</f>
        <v/>
      </c>
      <c r="C18" s="37" t="str">
        <f>IF([2]Charles!C18=0,"",[2]Charles!C18)</f>
        <v/>
      </c>
      <c r="D18" s="37" t="str">
        <f>IF([2]Charles!D18=0,"",[2]Charles!D18)</f>
        <v/>
      </c>
      <c r="E18" s="47" t="str">
        <f>IF([2]Charles!E18=0,"",[2]Charles!E18)</f>
        <v/>
      </c>
      <c r="F18" s="38" t="str">
        <f>IF([2]Charles!F18=0,"",[2]Charles!F18)</f>
        <v/>
      </c>
      <c r="G18" t="str">
        <f t="shared" si="0"/>
        <v/>
      </c>
    </row>
    <row r="19" spans="1:78" s="1" customFormat="1" ht="16" thickBot="1" x14ac:dyDescent="0.25">
      <c r="A19" s="2" t="s">
        <v>23</v>
      </c>
      <c r="B19" s="41" t="str">
        <f>IF([2]Charles!B19=0,"",[2]Charles!B19)</f>
        <v/>
      </c>
      <c r="C19" s="41" t="str">
        <f>IF([2]Charles!C19=0,"",[2]Charles!C19)</f>
        <v/>
      </c>
      <c r="D19" s="41" t="str">
        <f>IF([2]Charles!D19=0,"",[2]Charles!D19)</f>
        <v/>
      </c>
      <c r="E19" s="49" t="str">
        <f>IF([2]Charles!E19=0,"",[2]Charles!E19)</f>
        <v/>
      </c>
      <c r="F19" s="42" t="str">
        <f>IF([2]Charles!F19=0,"",[2]Charles!F19)</f>
        <v/>
      </c>
      <c r="G19" t="str">
        <f t="shared" si="0"/>
        <v/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</row>
    <row r="20" spans="1:78" s="1" customFormat="1" ht="16" thickBot="1" x14ac:dyDescent="0.25">
      <c r="A20" s="27" t="s">
        <v>9</v>
      </c>
      <c r="B20" s="28" t="str">
        <f t="shared" ref="B20:F20" si="1">IF(SUM(B7:B19)=0,"",SUM(B7:B19))</f>
        <v/>
      </c>
      <c r="C20" s="28" t="str">
        <f t="shared" si="1"/>
        <v/>
      </c>
      <c r="D20" s="28" t="str">
        <f t="shared" si="1"/>
        <v/>
      </c>
      <c r="E20" s="28" t="str">
        <f t="shared" si="1"/>
        <v/>
      </c>
      <c r="F20" s="50" t="str">
        <f t="shared" si="1"/>
        <v/>
      </c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</row>
    <row r="21" spans="1:78" s="1" customFormat="1" x14ac:dyDescent="0.2">
      <c r="A21" s="30"/>
      <c r="B21" s="31" t="s">
        <v>2</v>
      </c>
      <c r="C21" s="31" t="s">
        <v>24</v>
      </c>
      <c r="D21" s="31" t="s">
        <v>25</v>
      </c>
      <c r="E21" s="31" t="s">
        <v>26</v>
      </c>
      <c r="F21" s="32" t="s">
        <v>10</v>
      </c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</row>
    <row r="22" spans="1:78" s="1" customFormat="1" ht="14.75" customHeight="1" x14ac:dyDescent="0.2">
      <c r="A22" s="33" t="s">
        <v>28</v>
      </c>
      <c r="B22" s="43" t="str">
        <f>IF([2]Charles!B22=0,"",[2]Charles!B22)</f>
        <v/>
      </c>
      <c r="C22" s="43" t="str">
        <f>IF([2]Charles!C22=0,"",[2]Charles!C22)</f>
        <v/>
      </c>
      <c r="D22" s="43" t="str">
        <f>IF([2]Charles!D22=0,"",[2]Charles!D22)</f>
        <v/>
      </c>
      <c r="E22" s="43" t="str">
        <f>IF([2]Charles!E22=0,"",[2]Charles!E22)</f>
        <v/>
      </c>
      <c r="F22" s="44" t="str">
        <f>IF([2]Charles!F22=0,"",[2]Charles!F22)</f>
        <v/>
      </c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</row>
    <row r="23" spans="1:78" s="1" customFormat="1" ht="14.5" customHeight="1" thickBot="1" x14ac:dyDescent="0.25">
      <c r="A23" s="33" t="s">
        <v>29</v>
      </c>
      <c r="B23" s="43" t="str">
        <f>IF([2]Charles!B23=0,"",[2]Charles!B23)</f>
        <v/>
      </c>
      <c r="C23" s="43" t="str">
        <f>IF([2]Charles!C23=0,"",[2]Charles!C23)</f>
        <v/>
      </c>
      <c r="D23" s="43" t="str">
        <f>IF([2]Charles!D23=0,"",[2]Charles!D23)</f>
        <v/>
      </c>
      <c r="E23" s="43" t="str">
        <f>IF([2]Charles!E23=0,"",[2]Charles!E23)</f>
        <v/>
      </c>
      <c r="F23" s="44" t="str">
        <f>IF([2]Charles!F23=0,"",[2]Charles!F23)</f>
        <v/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78" s="1" customFormat="1" ht="15" customHeight="1" x14ac:dyDescent="0.2">
      <c r="A24" s="72" t="s">
        <v>8</v>
      </c>
      <c r="B24" s="73"/>
      <c r="C24" s="73"/>
      <c r="D24" s="73"/>
      <c r="E24" s="73"/>
      <c r="F24" s="7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78" s="1" customFormat="1" ht="15.75" customHeight="1" thickBot="1" x14ac:dyDescent="0.25">
      <c r="A25" s="75"/>
      <c r="B25" s="76"/>
      <c r="C25" s="76"/>
      <c r="D25" s="76"/>
      <c r="E25" s="76"/>
      <c r="F25" s="77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78" s="1" customFormat="1" ht="30" customHeight="1" x14ac:dyDescent="0.2">
      <c r="A26" s="78" t="s">
        <v>7</v>
      </c>
      <c r="B26" s="79" t="str">
        <f>IF([2]Charles!B26=0,"",[2]Charles!B26)</f>
        <v/>
      </c>
      <c r="C26" s="79"/>
      <c r="D26" s="79"/>
      <c r="E26" s="79"/>
      <c r="F26" s="80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78" s="1" customFormat="1" ht="30" customHeight="1" x14ac:dyDescent="0.2">
      <c r="A27" s="66"/>
      <c r="B27" s="67"/>
      <c r="C27" s="67"/>
      <c r="D27" s="67"/>
      <c r="E27" s="67"/>
      <c r="F27" s="68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78" s="1" customFormat="1" ht="30" customHeight="1" x14ac:dyDescent="0.2">
      <c r="A28" s="66" t="s">
        <v>6</v>
      </c>
      <c r="B28" s="67" t="str">
        <f>IF([2]Charles!B28=0,"",[2]Charles!B28)</f>
        <v/>
      </c>
      <c r="C28" s="67"/>
      <c r="D28" s="67"/>
      <c r="E28" s="67"/>
      <c r="F28" s="6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78" s="1" customFormat="1" ht="30" customHeight="1" x14ac:dyDescent="0.2">
      <c r="A29" s="66"/>
      <c r="B29" s="67"/>
      <c r="C29" s="67"/>
      <c r="D29" s="67"/>
      <c r="E29" s="67"/>
      <c r="F29" s="68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78" s="1" customFormat="1" ht="30" customHeight="1" x14ac:dyDescent="0.2">
      <c r="A30" s="66" t="s">
        <v>3</v>
      </c>
      <c r="B30" s="67" t="str">
        <f>IF([2]Charles!B30=0,"",[2]Charles!B30)</f>
        <v/>
      </c>
      <c r="C30" s="67"/>
      <c r="D30" s="67"/>
      <c r="E30" s="67"/>
      <c r="F30" s="68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78" s="1" customFormat="1" ht="30" customHeight="1" x14ac:dyDescent="0.2">
      <c r="A31" s="66"/>
      <c r="B31" s="67"/>
      <c r="C31" s="67"/>
      <c r="D31" s="67"/>
      <c r="E31" s="67"/>
      <c r="F31" s="68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78" s="1" customFormat="1" ht="30" customHeight="1" x14ac:dyDescent="0.2">
      <c r="A32" s="66" t="s">
        <v>4</v>
      </c>
      <c r="B32" s="67" t="str">
        <f>IF([2]Charles!B32=0,"",[2]Charles!B32)</f>
        <v/>
      </c>
      <c r="C32" s="67"/>
      <c r="D32" s="67"/>
      <c r="E32" s="67"/>
      <c r="F32" s="68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70" s="1" customFormat="1" ht="30" customHeight="1" x14ac:dyDescent="0.2">
      <c r="A33" s="66"/>
      <c r="B33" s="67"/>
      <c r="C33" s="67"/>
      <c r="D33" s="67"/>
      <c r="E33" s="67"/>
      <c r="F33" s="68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70" s="1" customFormat="1" ht="30" customHeight="1" x14ac:dyDescent="0.2">
      <c r="A34" s="66" t="s">
        <v>5</v>
      </c>
      <c r="B34" s="67" t="str">
        <f>IF([2]Charles!B34=0,"",[2]Charles!B34)</f>
        <v/>
      </c>
      <c r="C34" s="67"/>
      <c r="D34" s="67"/>
      <c r="E34" s="67"/>
      <c r="F34" s="68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70" s="1" customFormat="1" ht="30" customHeight="1" thickBot="1" x14ac:dyDescent="0.25">
      <c r="A35" s="69"/>
      <c r="B35" s="70"/>
      <c r="C35" s="70"/>
      <c r="D35" s="70"/>
      <c r="E35" s="70"/>
      <c r="F35" s="71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70" s="1" customFormat="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70" s="1" customForma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70" s="1" customFormat="1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</row>
    <row r="39" spans="1:70" s="1" customFormat="1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</row>
    <row r="40" spans="1:70" s="1" customFormat="1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</row>
    <row r="41" spans="1:70" s="1" customFormat="1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</row>
    <row r="42" spans="1:70" s="1" customFormat="1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</row>
    <row r="43" spans="1:70" s="1" customFormat="1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</row>
    <row r="44" spans="1:70" s="1" customFormat="1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</row>
    <row r="45" spans="1:70" s="1" customFormat="1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</row>
    <row r="46" spans="1:70" s="1" customFormat="1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</row>
    <row r="47" spans="1:70" s="1" customFormat="1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</row>
    <row r="48" spans="1:70" s="1" customFormat="1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</row>
    <row r="49" spans="1:78" s="1" customFormat="1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</row>
    <row r="50" spans="1:78" s="1" customFormat="1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</row>
    <row r="51" spans="1:78" s="1" customFormat="1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</row>
    <row r="52" spans="1:78" s="1" customFormat="1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</row>
    <row r="53" spans="1:78" s="1" customFormat="1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</row>
    <row r="54" spans="1:78" s="1" customFormat="1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</row>
    <row r="55" spans="1:78" s="1" customFormat="1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</row>
    <row r="56" spans="1:78" s="1" customFormat="1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</row>
    <row r="57" spans="1:78" s="1" customFormat="1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</row>
    <row r="58" spans="1:78" s="1" customFormat="1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</row>
    <row r="59" spans="1:78" s="1" customFormat="1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</row>
    <row r="60" spans="1:78" s="1" customFormat="1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</row>
    <row r="61" spans="1:78" s="1" customFormat="1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</row>
    <row r="62" spans="1:78" s="1" customFormat="1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</row>
    <row r="63" spans="1:78" s="1" customFormat="1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</row>
    <row r="64" spans="1:78" s="1" customFormat="1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</row>
    <row r="65" spans="1:78" s="1" customFormat="1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</row>
    <row r="66" spans="1:78" s="1" customFormat="1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</row>
  </sheetData>
  <dataConsolidate>
    <dataRefs count="4">
      <dataRef ref="C11:H28" sheet="Bashar" r:id="rId1"/>
      <dataRef ref="C11:H28" sheet="Darius" r:id="rId2"/>
      <dataRef ref="C11:H28" sheet="George" r:id="rId3"/>
      <dataRef ref="C11:H28" sheet="Rich" r:id="rId4"/>
    </dataRefs>
  </dataConsolidate>
  <mergeCells count="13">
    <mergeCell ref="A28:A29"/>
    <mergeCell ref="B28:F29"/>
    <mergeCell ref="A1:F3"/>
    <mergeCell ref="A4:F5"/>
    <mergeCell ref="A24:F25"/>
    <mergeCell ref="A26:A27"/>
    <mergeCell ref="B26:F27"/>
    <mergeCell ref="A30:A31"/>
    <mergeCell ref="B30:F31"/>
    <mergeCell ref="A32:A33"/>
    <mergeCell ref="B32:F33"/>
    <mergeCell ref="A34:A35"/>
    <mergeCell ref="B34:F35"/>
  </mergeCells>
  <pageMargins left="0.7" right="0.7" top="0.75" bottom="0.75" header="0.3" footer="0.3"/>
  <pageSetup scale="10" orientation="portrait" horizontalDpi="203" verticalDpi="203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88550-78E6-4774-BEBA-E985E4FA3B41}">
  <sheetPr codeName="Sheet6">
    <tabColor theme="9" tint="0.39997558519241921"/>
    <pageSetUpPr fitToPage="1"/>
  </sheetPr>
  <dimension ref="A1:BZ66"/>
  <sheetViews>
    <sheetView topLeftCell="A7" zoomScale="130" zoomScaleNormal="130" workbookViewId="0">
      <selection activeCell="H17" sqref="H17"/>
    </sheetView>
  </sheetViews>
  <sheetFormatPr baseColWidth="10" defaultColWidth="8.83203125" defaultRowHeight="15" x14ac:dyDescent="0.2"/>
  <cols>
    <col min="1" max="1" width="25.6640625" bestFit="1" customWidth="1"/>
    <col min="2" max="3" width="8.33203125" bestFit="1" customWidth="1"/>
    <col min="4" max="4" width="11.5" bestFit="1" customWidth="1"/>
    <col min="5" max="5" width="9" bestFit="1" customWidth="1"/>
    <col min="6" max="6" width="6.5" bestFit="1" customWidth="1"/>
    <col min="7" max="7" width="0" hidden="1" customWidth="1"/>
  </cols>
  <sheetData>
    <row r="1" spans="1:7" ht="14.75" customHeight="1" x14ac:dyDescent="0.2">
      <c r="A1" s="51" t="s">
        <v>0</v>
      </c>
      <c r="B1" s="52"/>
      <c r="C1" s="52"/>
      <c r="D1" s="52"/>
      <c r="E1" s="52"/>
      <c r="F1" s="53"/>
    </row>
    <row r="2" spans="1:7" ht="14.75" customHeight="1" x14ac:dyDescent="0.2">
      <c r="A2" s="54"/>
      <c r="B2" s="55"/>
      <c r="C2" s="55"/>
      <c r="D2" s="55"/>
      <c r="E2" s="55"/>
      <c r="F2" s="56"/>
    </row>
    <row r="3" spans="1:7" ht="14.75" customHeight="1" thickBot="1" x14ac:dyDescent="0.25">
      <c r="A3" s="57"/>
      <c r="B3" s="58"/>
      <c r="C3" s="58"/>
      <c r="D3" s="58"/>
      <c r="E3" s="58"/>
      <c r="F3" s="59"/>
    </row>
    <row r="4" spans="1:7" ht="14.75" customHeight="1" x14ac:dyDescent="0.2">
      <c r="A4" s="60" t="s">
        <v>27</v>
      </c>
      <c r="B4" s="61"/>
      <c r="C4" s="61"/>
      <c r="D4" s="61"/>
      <c r="E4" s="61"/>
      <c r="F4" s="62"/>
    </row>
    <row r="5" spans="1:7" ht="14.75" customHeight="1" thickBot="1" x14ac:dyDescent="0.25">
      <c r="A5" s="63"/>
      <c r="B5" s="64"/>
      <c r="C5" s="64"/>
      <c r="D5" s="64"/>
      <c r="E5" s="64"/>
      <c r="F5" s="65"/>
    </row>
    <row r="6" spans="1:7" ht="16" thickBot="1" x14ac:dyDescent="0.25">
      <c r="A6" s="3" t="s">
        <v>1</v>
      </c>
      <c r="B6" s="25" t="s">
        <v>2</v>
      </c>
      <c r="C6" s="23" t="s">
        <v>24</v>
      </c>
      <c r="D6" s="23" t="s">
        <v>25</v>
      </c>
      <c r="E6" s="23" t="s">
        <v>26</v>
      </c>
      <c r="F6" s="26" t="s">
        <v>10</v>
      </c>
    </row>
    <row r="7" spans="1:7" x14ac:dyDescent="0.2">
      <c r="A7" s="2" t="s">
        <v>12</v>
      </c>
      <c r="B7" s="35" t="str">
        <f>IF([3]Darius!B7=0,"",[3]Darius!B7)</f>
        <v/>
      </c>
      <c r="C7" s="35" t="str">
        <f>IF([3]Darius!C7=0,"",[3]Darius!C7)</f>
        <v/>
      </c>
      <c r="D7" s="35" t="str">
        <f>IF([3]Darius!D7=0,"",[3]Darius!D7)</f>
        <v/>
      </c>
      <c r="E7" s="35" t="str">
        <f>IF([3]Darius!E7=0,"",[3]Darius!E7)</f>
        <v/>
      </c>
      <c r="F7" s="36" t="str">
        <f>IF([3]Darius!F7=0,"",[3]Darius!F7)</f>
        <v/>
      </c>
      <c r="G7" t="str">
        <f>IF(SUM(B7,C7,D7,E7,F7)=0,"",SUM(B7,C7,D7,E7,F7))</f>
        <v/>
      </c>
    </row>
    <row r="8" spans="1:7" x14ac:dyDescent="0.2">
      <c r="A8" s="2" t="s">
        <v>13</v>
      </c>
      <c r="B8" s="37" t="str">
        <f>IF([3]Darius!B8=0,"",[3]Darius!B8)</f>
        <v/>
      </c>
      <c r="C8" s="37" t="str">
        <f>IF([3]Darius!C8=0,"",[3]Darius!C8)</f>
        <v/>
      </c>
      <c r="D8" s="37">
        <f>IF([3]Darius!D8=0,"",[3]Darius!D8)</f>
        <v>79</v>
      </c>
      <c r="E8" s="37" t="str">
        <f>IF([3]Darius!E8=0,"",[3]Darius!E8)</f>
        <v/>
      </c>
      <c r="F8" s="38" t="str">
        <f>IF([3]Darius!F8=0,"",[3]Darius!F8)</f>
        <v/>
      </c>
      <c r="G8">
        <f t="shared" ref="G8:G19" si="0">IF(SUM(B8,C8,D8,E8,F8)=0,"",SUM(B8,C8,D8,E8,F8))</f>
        <v>79</v>
      </c>
    </row>
    <row r="9" spans="1:7" x14ac:dyDescent="0.2">
      <c r="A9" s="2" t="s">
        <v>14</v>
      </c>
      <c r="B9" s="39" t="str">
        <f>IF([3]Darius!B9=0,"",[3]Darius!B9)</f>
        <v/>
      </c>
      <c r="C9" s="39" t="str">
        <f>IF([3]Darius!C9=0,"",[3]Darius!C9)</f>
        <v/>
      </c>
      <c r="D9" s="39" t="str">
        <f>IF([3]Darius!D9=0,"",[3]Darius!D9)</f>
        <v/>
      </c>
      <c r="E9" s="39" t="str">
        <f>IF([3]Darius!E9=0,"",[3]Darius!E9)</f>
        <v/>
      </c>
      <c r="F9" s="40" t="str">
        <f>IF([3]Darius!F9=0,"",[3]Darius!F9)</f>
        <v/>
      </c>
      <c r="G9" t="str">
        <f t="shared" si="0"/>
        <v/>
      </c>
    </row>
    <row r="10" spans="1:7" x14ac:dyDescent="0.2">
      <c r="A10" s="2" t="s">
        <v>15</v>
      </c>
      <c r="B10" s="37" t="str">
        <f>IF([3]Darius!B10=0,"",[3]Darius!B10)</f>
        <v/>
      </c>
      <c r="C10" s="37" t="str">
        <f>IF([3]Darius!C10=0,"",[3]Darius!C10)</f>
        <v/>
      </c>
      <c r="D10" s="37" t="str">
        <f>IF([3]Darius!D10=0,"",[3]Darius!D10)</f>
        <v/>
      </c>
      <c r="E10" s="37" t="str">
        <f>IF([3]Darius!E10=0,"",[3]Darius!E10)</f>
        <v/>
      </c>
      <c r="F10" s="38" t="str">
        <f>IF([3]Darius!F10=0,"",[3]Darius!F10)</f>
        <v/>
      </c>
      <c r="G10" t="str">
        <f t="shared" si="0"/>
        <v/>
      </c>
    </row>
    <row r="11" spans="1:7" x14ac:dyDescent="0.2">
      <c r="A11" s="2" t="s">
        <v>16</v>
      </c>
      <c r="B11" s="39" t="str">
        <f>IF([3]Darius!B11=0,"",[3]Darius!B11)</f>
        <v/>
      </c>
      <c r="C11" s="39" t="str">
        <f>IF([3]Darius!C11=0,"",[3]Darius!C11)</f>
        <v/>
      </c>
      <c r="D11" s="39" t="str">
        <f>IF([3]Darius!D11=0,"",[3]Darius!D11)</f>
        <v/>
      </c>
      <c r="E11" s="39" t="str">
        <f>IF([3]Darius!E11=0,"",[3]Darius!E11)</f>
        <v/>
      </c>
      <c r="F11" s="40" t="str">
        <f>IF([3]Darius!F11=0,"",[3]Darius!F11)</f>
        <v/>
      </c>
      <c r="G11" t="str">
        <f t="shared" si="0"/>
        <v/>
      </c>
    </row>
    <row r="12" spans="1:7" x14ac:dyDescent="0.2">
      <c r="A12" s="2" t="s">
        <v>17</v>
      </c>
      <c r="B12" s="37" t="str">
        <f>IF([3]Darius!B12=0,"",[3]Darius!B12)</f>
        <v/>
      </c>
      <c r="C12" s="37" t="str">
        <f>IF([3]Darius!C12=0,"",[3]Darius!C12)</f>
        <v/>
      </c>
      <c r="D12" s="37" t="str">
        <f>IF([3]Darius!D12=0,"",[3]Darius!D12)</f>
        <v/>
      </c>
      <c r="E12" s="37" t="str">
        <f>IF([3]Darius!E12=0,"",[3]Darius!E12)</f>
        <v/>
      </c>
      <c r="F12" s="38" t="str">
        <f>IF([3]Darius!F12=0,"",[3]Darius!F12)</f>
        <v/>
      </c>
      <c r="G12" t="str">
        <f t="shared" si="0"/>
        <v/>
      </c>
    </row>
    <row r="13" spans="1:7" x14ac:dyDescent="0.2">
      <c r="A13" s="2" t="s">
        <v>18</v>
      </c>
      <c r="B13" s="39" t="str">
        <f>IF([3]Darius!B13=0,"",[3]Darius!B13)</f>
        <v/>
      </c>
      <c r="C13" s="39" t="str">
        <f>IF([3]Darius!C13=0,"",[3]Darius!C13)</f>
        <v/>
      </c>
      <c r="D13" s="39" t="str">
        <f>IF([3]Darius!D13=0,"",[3]Darius!D13)</f>
        <v/>
      </c>
      <c r="E13" s="39" t="str">
        <f>IF([3]Darius!E13=0,"",[3]Darius!E13)</f>
        <v/>
      </c>
      <c r="F13" s="40" t="str">
        <f>IF([3]Darius!F13=0,"",[3]Darius!F13)</f>
        <v/>
      </c>
      <c r="G13" t="str">
        <f t="shared" si="0"/>
        <v/>
      </c>
    </row>
    <row r="14" spans="1:7" x14ac:dyDescent="0.2">
      <c r="A14" s="2" t="s">
        <v>19</v>
      </c>
      <c r="B14" s="37">
        <f>IF([3]Darius!B14=0,"",[3]Darius!B14)</f>
        <v>55</v>
      </c>
      <c r="C14" s="37">
        <f>IF([3]Darius!C14=0,"",[3]Darius!C14)</f>
        <v>48</v>
      </c>
      <c r="D14" s="37">
        <f>IF([3]Darius!D14=0,"",[3]Darius!D14)</f>
        <v>5</v>
      </c>
      <c r="E14" s="37" t="str">
        <f>IF([3]Darius!E14=0,"",[3]Darius!E14)</f>
        <v/>
      </c>
      <c r="F14" s="38" t="str">
        <f>IF([3]Darius!F14=0,"",[3]Darius!F14)</f>
        <v/>
      </c>
      <c r="G14">
        <f t="shared" si="0"/>
        <v>108</v>
      </c>
    </row>
    <row r="15" spans="1:7" x14ac:dyDescent="0.2">
      <c r="A15" s="2" t="s">
        <v>20</v>
      </c>
      <c r="B15" s="39" t="str">
        <f>IF([3]Darius!B15=0,"",[3]Darius!B15)</f>
        <v/>
      </c>
      <c r="C15" s="39" t="str">
        <f>IF([3]Darius!C15=0,"",[3]Darius!C15)</f>
        <v/>
      </c>
      <c r="D15" s="39" t="str">
        <f>IF([3]Darius!D15=0,"",[3]Darius!D15)</f>
        <v/>
      </c>
      <c r="E15" s="39" t="str">
        <f>IF([3]Darius!E15=0,"",[3]Darius!E15)</f>
        <v/>
      </c>
      <c r="F15" s="40" t="str">
        <f>IF([3]Darius!F15=0,"",[3]Darius!F15)</f>
        <v/>
      </c>
      <c r="G15" t="str">
        <f t="shared" si="0"/>
        <v/>
      </c>
    </row>
    <row r="16" spans="1:7" x14ac:dyDescent="0.2">
      <c r="A16" s="2" t="s">
        <v>11</v>
      </c>
      <c r="B16" s="37" t="str">
        <f>IF([3]Darius!B16=0,"",[3]Darius!B16)</f>
        <v/>
      </c>
      <c r="C16" s="37" t="str">
        <f>IF([3]Darius!C16=0,"",[3]Darius!C16)</f>
        <v/>
      </c>
      <c r="D16" s="37" t="str">
        <f>IF([3]Darius!D16=0,"",[3]Darius!D16)</f>
        <v/>
      </c>
      <c r="E16" s="37" t="str">
        <f>IF([3]Darius!E16=0,"",[3]Darius!E16)</f>
        <v/>
      </c>
      <c r="F16" s="38" t="str">
        <f>IF([3]Darius!F16=0,"",[3]Darius!F16)</f>
        <v/>
      </c>
      <c r="G16" t="str">
        <f t="shared" si="0"/>
        <v/>
      </c>
    </row>
    <row r="17" spans="1:78" x14ac:dyDescent="0.2">
      <c r="A17" s="2" t="s">
        <v>21</v>
      </c>
      <c r="B17" s="39" t="str">
        <f>IF([3]Darius!B17=0,"",[3]Darius!B17)</f>
        <v/>
      </c>
      <c r="C17" s="39" t="str">
        <f>IF([3]Darius!C17=0,"",[3]Darius!C17)</f>
        <v/>
      </c>
      <c r="D17" s="39" t="str">
        <f>IF([3]Darius!D17=0,"",[3]Darius!D17)</f>
        <v/>
      </c>
      <c r="E17" s="39" t="str">
        <f>IF([3]Darius!E17=0,"",[3]Darius!E17)</f>
        <v/>
      </c>
      <c r="F17" s="40" t="str">
        <f>IF([3]Darius!F17=0,"",[3]Darius!F17)</f>
        <v/>
      </c>
      <c r="G17" t="str">
        <f t="shared" si="0"/>
        <v/>
      </c>
    </row>
    <row r="18" spans="1:78" x14ac:dyDescent="0.2">
      <c r="A18" s="2" t="s">
        <v>22</v>
      </c>
      <c r="B18" s="37" t="str">
        <f>IF([3]Darius!B18=0,"",[3]Darius!B18)</f>
        <v/>
      </c>
      <c r="C18" s="37" t="str">
        <f>IF([3]Darius!C18=0,"",[3]Darius!C18)</f>
        <v/>
      </c>
      <c r="D18" s="37" t="str">
        <f>IF([3]Darius!D18=0,"",[3]Darius!D18)</f>
        <v/>
      </c>
      <c r="E18" s="37" t="str">
        <f>IF([3]Darius!E18=0,"",[3]Darius!E18)</f>
        <v/>
      </c>
      <c r="F18" s="38" t="str">
        <f>IF([3]Darius!F18=0,"",[3]Darius!F18)</f>
        <v/>
      </c>
      <c r="G18" t="str">
        <f t="shared" si="0"/>
        <v/>
      </c>
    </row>
    <row r="19" spans="1:78" s="1" customFormat="1" ht="16" thickBot="1" x14ac:dyDescent="0.25">
      <c r="A19" s="2" t="s">
        <v>23</v>
      </c>
      <c r="B19" s="41" t="str">
        <f>IF([3]Darius!B19=0,"",[3]Darius!B19)</f>
        <v/>
      </c>
      <c r="C19" s="41" t="str">
        <f>IF([3]Darius!C19=0,"",[3]Darius!C19)</f>
        <v/>
      </c>
      <c r="D19" s="41" t="str">
        <f>IF([3]Darius!D19=0,"",[3]Darius!D19)</f>
        <v/>
      </c>
      <c r="E19" s="41" t="str">
        <f>IF([3]Darius!E19=0,"",[3]Darius!E19)</f>
        <v/>
      </c>
      <c r="F19" s="42" t="str">
        <f>IF([3]Darius!F19=0,"",[3]Darius!F19)</f>
        <v/>
      </c>
      <c r="G19" t="str">
        <f t="shared" si="0"/>
        <v/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</row>
    <row r="20" spans="1:78" s="1" customFormat="1" ht="16" thickBot="1" x14ac:dyDescent="0.25">
      <c r="A20" s="27" t="s">
        <v>9</v>
      </c>
      <c r="B20" s="28">
        <f t="shared" ref="B20:F20" si="1">IF(SUM(B7:B19)=0,"",SUM(B7:B19))</f>
        <v>55</v>
      </c>
      <c r="C20" s="28">
        <f t="shared" si="1"/>
        <v>48</v>
      </c>
      <c r="D20" s="28">
        <f t="shared" si="1"/>
        <v>84</v>
      </c>
      <c r="E20" s="28" t="str">
        <f t="shared" si="1"/>
        <v/>
      </c>
      <c r="F20" s="29" t="str">
        <f t="shared" si="1"/>
        <v/>
      </c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</row>
    <row r="21" spans="1:78" s="1" customFormat="1" x14ac:dyDescent="0.2">
      <c r="A21" s="30"/>
      <c r="B21" s="31" t="s">
        <v>2</v>
      </c>
      <c r="C21" s="31" t="s">
        <v>24</v>
      </c>
      <c r="D21" s="31" t="s">
        <v>25</v>
      </c>
      <c r="E21" s="31" t="s">
        <v>26</v>
      </c>
      <c r="F21" s="32" t="s">
        <v>10</v>
      </c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</row>
    <row r="22" spans="1:78" s="1" customFormat="1" ht="14.75" customHeight="1" x14ac:dyDescent="0.2">
      <c r="A22" s="33" t="s">
        <v>28</v>
      </c>
      <c r="B22" s="43" t="str">
        <f>IF([3]Darius!B22=0,"",[3]Darius!B22)</f>
        <v/>
      </c>
      <c r="C22" s="43" t="str">
        <f>IF([3]Darius!C22=0,"",[3]Darius!C22)</f>
        <v/>
      </c>
      <c r="D22" s="43" t="str">
        <f>IF([3]Darius!D22=0,"",[3]Darius!D22)</f>
        <v/>
      </c>
      <c r="E22" s="43" t="str">
        <f>IF([3]Darius!E22=0,"",[3]Darius!E22)</f>
        <v/>
      </c>
      <c r="F22" s="44" t="str">
        <f>IF([3]Darius!F22=0,"",[3]Darius!F22)</f>
        <v/>
      </c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</row>
    <row r="23" spans="1:78" s="1" customFormat="1" ht="14.5" customHeight="1" thickBot="1" x14ac:dyDescent="0.25">
      <c r="A23" s="33" t="s">
        <v>29</v>
      </c>
      <c r="B23" s="43" t="str">
        <f>IF([3]Darius!B23=0,"",[3]Darius!B23)</f>
        <v/>
      </c>
      <c r="C23" s="43" t="str">
        <f>IF([3]Darius!C23=0,"",[3]Darius!C23)</f>
        <v/>
      </c>
      <c r="D23" s="43" t="str">
        <f>IF([3]Darius!D23=0,"",[3]Darius!D23)</f>
        <v/>
      </c>
      <c r="E23" s="43" t="str">
        <f>IF([3]Darius!E23=0,"",[3]Darius!E23)</f>
        <v/>
      </c>
      <c r="F23" s="44" t="str">
        <f>IF([3]Darius!F23=0,"",[3]Darius!F23)</f>
        <v/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78" s="1" customFormat="1" ht="15" customHeight="1" x14ac:dyDescent="0.2">
      <c r="A24" s="72" t="s">
        <v>8</v>
      </c>
      <c r="B24" s="73"/>
      <c r="C24" s="73"/>
      <c r="D24" s="73"/>
      <c r="E24" s="73"/>
      <c r="F24" s="7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78" s="1" customFormat="1" ht="15.5" customHeight="1" thickBot="1" x14ac:dyDescent="0.25">
      <c r="A25" s="75"/>
      <c r="B25" s="76"/>
      <c r="C25" s="76"/>
      <c r="D25" s="76"/>
      <c r="E25" s="76"/>
      <c r="F25" s="77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78" s="1" customFormat="1" ht="30" customHeight="1" x14ac:dyDescent="0.2">
      <c r="A26" s="78" t="s">
        <v>7</v>
      </c>
      <c r="B26" s="79" t="str">
        <f>IF([3]Darius!B26=0,"",[3]Darius!B26)</f>
        <v xml:space="preserve">Spent an hour looking over devices returned from avery that were still damaged. 30 minutes in team meeting. </v>
      </c>
      <c r="C26" s="79"/>
      <c r="D26" s="79"/>
      <c r="E26" s="79"/>
      <c r="F26" s="80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78" s="1" customFormat="1" ht="30" customHeight="1" x14ac:dyDescent="0.2">
      <c r="A27" s="66"/>
      <c r="B27" s="67"/>
      <c r="C27" s="67"/>
      <c r="D27" s="67"/>
      <c r="E27" s="67"/>
      <c r="F27" s="68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78" s="1" customFormat="1" ht="30" customHeight="1" x14ac:dyDescent="0.2">
      <c r="A28" s="66" t="s">
        <v>6</v>
      </c>
      <c r="B28" s="67" t="str">
        <f>IF([3]Darius!B28=0,"",[3]Darius!B28)</f>
        <v/>
      </c>
      <c r="C28" s="67"/>
      <c r="D28" s="67"/>
      <c r="E28" s="67"/>
      <c r="F28" s="6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78" s="1" customFormat="1" ht="30" customHeight="1" x14ac:dyDescent="0.2">
      <c r="A29" s="66"/>
      <c r="B29" s="67"/>
      <c r="C29" s="67"/>
      <c r="D29" s="67"/>
      <c r="E29" s="67"/>
      <c r="F29" s="68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78" s="1" customFormat="1" ht="30" customHeight="1" x14ac:dyDescent="0.2">
      <c r="A30" s="66" t="s">
        <v>3</v>
      </c>
      <c r="B30" s="67" t="str">
        <f>IF([3]Darius!B30=0,"",[3]Darius!B30)</f>
        <v/>
      </c>
      <c r="C30" s="67"/>
      <c r="D30" s="67"/>
      <c r="E30" s="67"/>
      <c r="F30" s="68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78" s="1" customFormat="1" ht="30" customHeight="1" x14ac:dyDescent="0.2">
      <c r="A31" s="66"/>
      <c r="B31" s="67"/>
      <c r="C31" s="67"/>
      <c r="D31" s="67"/>
      <c r="E31" s="67"/>
      <c r="F31" s="68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78" s="1" customFormat="1" ht="30" customHeight="1" x14ac:dyDescent="0.2">
      <c r="A32" s="66" t="s">
        <v>4</v>
      </c>
      <c r="B32" s="67" t="str">
        <f>IF([3]Darius!B32=0,"",[3]Darius!B32)</f>
        <v/>
      </c>
      <c r="C32" s="67"/>
      <c r="D32" s="67"/>
      <c r="E32" s="67"/>
      <c r="F32" s="68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70" s="1" customFormat="1" ht="30" customHeight="1" x14ac:dyDescent="0.2">
      <c r="A33" s="66"/>
      <c r="B33" s="67"/>
      <c r="C33" s="67"/>
      <c r="D33" s="67"/>
      <c r="E33" s="67"/>
      <c r="F33" s="68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70" s="1" customFormat="1" ht="30" customHeight="1" x14ac:dyDescent="0.2">
      <c r="A34" s="66" t="s">
        <v>5</v>
      </c>
      <c r="B34" s="67" t="str">
        <f>IF([3]Darius!B34=0,"",[3]Darius!B34)</f>
        <v/>
      </c>
      <c r="C34" s="67"/>
      <c r="D34" s="67"/>
      <c r="E34" s="67"/>
      <c r="F34" s="68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70" s="1" customFormat="1" ht="30" customHeight="1" thickBot="1" x14ac:dyDescent="0.25">
      <c r="A35" s="69"/>
      <c r="B35" s="70"/>
      <c r="C35" s="70"/>
      <c r="D35" s="70"/>
      <c r="E35" s="70"/>
      <c r="F35" s="71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70" s="1" customFormat="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70" s="1" customForma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70" s="1" customFormat="1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</row>
    <row r="39" spans="1:70" s="1" customFormat="1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</row>
    <row r="40" spans="1:70" s="1" customFormat="1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</row>
    <row r="41" spans="1:70" s="1" customFormat="1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</row>
    <row r="42" spans="1:70" s="1" customFormat="1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</row>
    <row r="43" spans="1:70" s="1" customFormat="1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</row>
    <row r="44" spans="1:70" s="1" customFormat="1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</row>
    <row r="45" spans="1:70" s="1" customFormat="1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</row>
    <row r="46" spans="1:70" s="1" customFormat="1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</row>
    <row r="47" spans="1:70" s="1" customFormat="1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</row>
    <row r="48" spans="1:70" s="1" customFormat="1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</row>
    <row r="49" spans="1:78" s="1" customFormat="1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</row>
    <row r="50" spans="1:78" s="1" customFormat="1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</row>
    <row r="51" spans="1:78" s="1" customFormat="1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</row>
    <row r="52" spans="1:78" s="1" customFormat="1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</row>
    <row r="53" spans="1:78" s="1" customFormat="1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</row>
    <row r="54" spans="1:78" s="1" customFormat="1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</row>
    <row r="55" spans="1:78" s="1" customFormat="1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</row>
    <row r="56" spans="1:78" s="1" customFormat="1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</row>
    <row r="57" spans="1:78" s="1" customFormat="1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</row>
    <row r="58" spans="1:78" s="1" customFormat="1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</row>
    <row r="59" spans="1:78" s="1" customFormat="1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</row>
    <row r="60" spans="1:78" s="1" customFormat="1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</row>
    <row r="61" spans="1:78" s="1" customFormat="1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</row>
    <row r="62" spans="1:78" s="1" customFormat="1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</row>
    <row r="63" spans="1:78" s="1" customFormat="1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</row>
    <row r="64" spans="1:78" s="1" customFormat="1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</row>
    <row r="65" spans="1:78" s="1" customFormat="1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</row>
    <row r="66" spans="1:78" s="1" customFormat="1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</row>
  </sheetData>
  <sheetProtection algorithmName="SHA-512" hashValue="KbpT/li7ea3Qvi0+RkiD4rSF7EH9/Pf/Iozljzq0+YwQR24vsMBMKsK5aAmmi1IPFJ2Mep7GvNo0uJ9V2v0VLg==" saltValue="Up9xgz9YlrYKIzGo2iNxHg==" spinCount="100000" sheet="1" objects="1" scenarios="1"/>
  <dataConsolidate>
    <dataRefs count="4">
      <dataRef ref="C11:H28" sheet="Bashar" r:id="rId1"/>
      <dataRef ref="C11:H28" sheet="Darius" r:id="rId2"/>
      <dataRef ref="C11:H28" sheet="George" r:id="rId3"/>
      <dataRef ref="C11:H28" sheet="Rich" r:id="rId4"/>
    </dataRefs>
  </dataConsolidate>
  <mergeCells count="13">
    <mergeCell ref="A28:A29"/>
    <mergeCell ref="B28:F29"/>
    <mergeCell ref="A1:F3"/>
    <mergeCell ref="A4:F5"/>
    <mergeCell ref="A24:F25"/>
    <mergeCell ref="A26:A27"/>
    <mergeCell ref="B26:F27"/>
    <mergeCell ref="A30:A31"/>
    <mergeCell ref="B30:F31"/>
    <mergeCell ref="A32:A33"/>
    <mergeCell ref="B32:F33"/>
    <mergeCell ref="A34:A35"/>
    <mergeCell ref="B34:F35"/>
  </mergeCells>
  <pageMargins left="0.7" right="0.7" top="0.75" bottom="0.75" header="0.3" footer="0.3"/>
  <pageSetup scale="10" orientation="portrait" horizontalDpi="203" verticalDpi="203"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0FFCA-E0EB-4ACD-AF48-E74160D5963B}">
  <sheetPr codeName="Sheet7">
    <tabColor theme="9" tint="0.39997558519241921"/>
    <pageSetUpPr fitToPage="1"/>
  </sheetPr>
  <dimension ref="A1:BZ66"/>
  <sheetViews>
    <sheetView topLeftCell="A7" zoomScaleNormal="100" workbookViewId="0">
      <selection activeCell="H24" sqref="H24"/>
    </sheetView>
  </sheetViews>
  <sheetFormatPr baseColWidth="10" defaultColWidth="8.83203125" defaultRowHeight="15" x14ac:dyDescent="0.2"/>
  <cols>
    <col min="1" max="1" width="25.6640625" bestFit="1" customWidth="1"/>
    <col min="2" max="3" width="8.33203125" bestFit="1" customWidth="1"/>
    <col min="4" max="4" width="11.5" bestFit="1" customWidth="1"/>
    <col min="5" max="5" width="9" bestFit="1" customWidth="1"/>
    <col min="6" max="6" width="6.5" bestFit="1" customWidth="1"/>
    <col min="7" max="7" width="0" hidden="1" customWidth="1"/>
  </cols>
  <sheetData>
    <row r="1" spans="1:7" ht="14.75" customHeight="1" x14ac:dyDescent="0.2">
      <c r="A1" s="51" t="s">
        <v>0</v>
      </c>
      <c r="B1" s="52"/>
      <c r="C1" s="52"/>
      <c r="D1" s="52"/>
      <c r="E1" s="52"/>
      <c r="F1" s="53"/>
    </row>
    <row r="2" spans="1:7" ht="14.75" customHeight="1" x14ac:dyDescent="0.2">
      <c r="A2" s="54"/>
      <c r="B2" s="55"/>
      <c r="C2" s="55"/>
      <c r="D2" s="55"/>
      <c r="E2" s="55"/>
      <c r="F2" s="56"/>
    </row>
    <row r="3" spans="1:7" ht="14.75" customHeight="1" thickBot="1" x14ac:dyDescent="0.25">
      <c r="A3" s="57"/>
      <c r="B3" s="58"/>
      <c r="C3" s="58"/>
      <c r="D3" s="58"/>
      <c r="E3" s="58"/>
      <c r="F3" s="59"/>
    </row>
    <row r="4" spans="1:7" ht="14.75" customHeight="1" x14ac:dyDescent="0.2">
      <c r="A4" s="60" t="s">
        <v>27</v>
      </c>
      <c r="B4" s="61"/>
      <c r="C4" s="61"/>
      <c r="D4" s="61"/>
      <c r="E4" s="61"/>
      <c r="F4" s="62"/>
    </row>
    <row r="5" spans="1:7" ht="14.75" customHeight="1" thickBot="1" x14ac:dyDescent="0.25">
      <c r="A5" s="63"/>
      <c r="B5" s="64"/>
      <c r="C5" s="64"/>
      <c r="D5" s="64"/>
      <c r="E5" s="64"/>
      <c r="F5" s="65"/>
    </row>
    <row r="6" spans="1:7" ht="16" thickBot="1" x14ac:dyDescent="0.25">
      <c r="A6" s="3" t="s">
        <v>1</v>
      </c>
      <c r="B6" s="25" t="s">
        <v>2</v>
      </c>
      <c r="C6" s="23" t="s">
        <v>24</v>
      </c>
      <c r="D6" s="23" t="s">
        <v>25</v>
      </c>
      <c r="E6" s="23" t="s">
        <v>26</v>
      </c>
      <c r="F6" s="26" t="s">
        <v>10</v>
      </c>
    </row>
    <row r="7" spans="1:7" x14ac:dyDescent="0.2">
      <c r="A7" s="2" t="s">
        <v>12</v>
      </c>
      <c r="B7" s="35" t="str">
        <f>IF([4]Doug!B7=0,"",[4]Doug!B7)</f>
        <v/>
      </c>
      <c r="C7" s="35" t="str">
        <f>IF([4]Doug!C7=0,"",[4]Doug!C7)</f>
        <v/>
      </c>
      <c r="D7" s="35" t="str">
        <f>IF([4]Doug!D7=0,"",[4]Doug!D7)</f>
        <v/>
      </c>
      <c r="E7" s="35" t="str">
        <f>IF([4]Doug!E7=0,"",[4]Doug!E7)</f>
        <v/>
      </c>
      <c r="F7" s="36" t="str">
        <f>IF([4]Doug!F7=0,"",[4]Doug!F7)</f>
        <v/>
      </c>
      <c r="G7" t="str">
        <f>IF(SUM(B7,C7,D7,E7,F7)=0,"",SUM(B7,C7,D7,E7,F7))</f>
        <v/>
      </c>
    </row>
    <row r="8" spans="1:7" x14ac:dyDescent="0.2">
      <c r="A8" s="2" t="s">
        <v>13</v>
      </c>
      <c r="B8" s="37">
        <f>IF([4]Doug!B8=0,"",[4]Doug!B8)</f>
        <v>23</v>
      </c>
      <c r="C8" s="37">
        <f>IF([4]Doug!C8=0,"",[4]Doug!C8)</f>
        <v>33</v>
      </c>
      <c r="D8" s="37">
        <f>IF([4]Doug!D8=0,"",[4]Doug!D8)</f>
        <v>15</v>
      </c>
      <c r="E8" s="37" t="str">
        <f>IF([4]Doug!E8=0,"",[4]Doug!E8)</f>
        <v/>
      </c>
      <c r="F8" s="38" t="str">
        <f>IF([4]Doug!F8=0,"",[4]Doug!F8)</f>
        <v/>
      </c>
      <c r="G8">
        <f t="shared" ref="G8:G19" si="0">IF(SUM(B8,C8,D8,E8,F8)=0,"",SUM(B8,C8,D8,E8,F8))</f>
        <v>71</v>
      </c>
    </row>
    <row r="9" spans="1:7" x14ac:dyDescent="0.2">
      <c r="A9" s="2" t="s">
        <v>14</v>
      </c>
      <c r="B9" s="39" t="str">
        <f>IF([4]Doug!B9=0,"",[4]Doug!B9)</f>
        <v/>
      </c>
      <c r="C9" s="39" t="str">
        <f>IF([4]Doug!C9=0,"",[4]Doug!C9)</f>
        <v/>
      </c>
      <c r="D9" s="39" t="str">
        <f>IF([4]Doug!D9=0,"",[4]Doug!D9)</f>
        <v/>
      </c>
      <c r="E9" s="39" t="str">
        <f>IF([4]Doug!E9=0,"",[4]Doug!E9)</f>
        <v/>
      </c>
      <c r="F9" s="40" t="str">
        <f>IF([4]Doug!F9=0,"",[4]Doug!F9)</f>
        <v/>
      </c>
      <c r="G9" t="str">
        <f t="shared" si="0"/>
        <v/>
      </c>
    </row>
    <row r="10" spans="1:7" x14ac:dyDescent="0.2">
      <c r="A10" s="2" t="s">
        <v>15</v>
      </c>
      <c r="B10" s="37" t="str">
        <f>IF([4]Doug!B10=0,"",[4]Doug!B10)</f>
        <v/>
      </c>
      <c r="C10" s="37" t="str">
        <f>IF([4]Doug!C10=0,"",[4]Doug!C10)</f>
        <v/>
      </c>
      <c r="D10" s="37" t="str">
        <f>IF([4]Doug!D10=0,"",[4]Doug!D10)</f>
        <v/>
      </c>
      <c r="E10" s="37" t="str">
        <f>IF([4]Doug!E10=0,"",[4]Doug!E10)</f>
        <v/>
      </c>
      <c r="F10" s="38" t="str">
        <f>IF([4]Doug!F10=0,"",[4]Doug!F10)</f>
        <v/>
      </c>
      <c r="G10" t="str">
        <f t="shared" si="0"/>
        <v/>
      </c>
    </row>
    <row r="11" spans="1:7" x14ac:dyDescent="0.2">
      <c r="A11" s="2" t="s">
        <v>16</v>
      </c>
      <c r="B11" s="39" t="str">
        <f>IF([4]Doug!B11=0,"",[4]Doug!B11)</f>
        <v/>
      </c>
      <c r="C11" s="39" t="str">
        <f>IF([4]Doug!C11=0,"",[4]Doug!C11)</f>
        <v/>
      </c>
      <c r="D11" s="39" t="str">
        <f>IF([4]Doug!D11=0,"",[4]Doug!D11)</f>
        <v/>
      </c>
      <c r="E11" s="39" t="str">
        <f>IF([4]Doug!E11=0,"",[4]Doug!E11)</f>
        <v/>
      </c>
      <c r="F11" s="40" t="str">
        <f>IF([4]Doug!F11=0,"",[4]Doug!F11)</f>
        <v/>
      </c>
      <c r="G11" t="str">
        <f t="shared" si="0"/>
        <v/>
      </c>
    </row>
    <row r="12" spans="1:7" x14ac:dyDescent="0.2">
      <c r="A12" s="2" t="s">
        <v>17</v>
      </c>
      <c r="B12" s="37" t="str">
        <f>IF([4]Doug!B12=0,"",[4]Doug!B12)</f>
        <v/>
      </c>
      <c r="C12" s="37" t="str">
        <f>IF([4]Doug!C12=0,"",[4]Doug!C12)</f>
        <v/>
      </c>
      <c r="D12" s="37" t="str">
        <f>IF([4]Doug!D12=0,"",[4]Doug!D12)</f>
        <v/>
      </c>
      <c r="E12" s="37" t="str">
        <f>IF([4]Doug!E12=0,"",[4]Doug!E12)</f>
        <v/>
      </c>
      <c r="F12" s="38" t="str">
        <f>IF([4]Doug!F12=0,"",[4]Doug!F12)</f>
        <v/>
      </c>
      <c r="G12" t="str">
        <f t="shared" si="0"/>
        <v/>
      </c>
    </row>
    <row r="13" spans="1:7" x14ac:dyDescent="0.2">
      <c r="A13" s="2" t="s">
        <v>18</v>
      </c>
      <c r="B13" s="39" t="str">
        <f>IF([4]Doug!B13=0,"",[4]Doug!B13)</f>
        <v/>
      </c>
      <c r="C13" s="39" t="str">
        <f>IF([4]Doug!C13=0,"",[4]Doug!C13)</f>
        <v/>
      </c>
      <c r="D13" s="39" t="str">
        <f>IF([4]Doug!D13=0,"",[4]Doug!D13)</f>
        <v/>
      </c>
      <c r="E13" s="39" t="str">
        <f>IF([4]Doug!E13=0,"",[4]Doug!E13)</f>
        <v/>
      </c>
      <c r="F13" s="40" t="str">
        <f>IF([4]Doug!F13=0,"",[4]Doug!F13)</f>
        <v/>
      </c>
      <c r="G13" t="str">
        <f t="shared" si="0"/>
        <v/>
      </c>
    </row>
    <row r="14" spans="1:7" x14ac:dyDescent="0.2">
      <c r="A14" s="2" t="s">
        <v>19</v>
      </c>
      <c r="B14" s="37" t="str">
        <f>IF([4]Doug!B14=0,"",[4]Doug!B14)</f>
        <v/>
      </c>
      <c r="C14" s="37" t="str">
        <f>IF([4]Doug!C14=0,"",[4]Doug!C14)</f>
        <v/>
      </c>
      <c r="D14" s="37" t="str">
        <f>IF([4]Doug!D14=0,"",[4]Doug!D14)</f>
        <v/>
      </c>
      <c r="E14" s="37" t="str">
        <f>IF([4]Doug!E14=0,"",[4]Doug!E14)</f>
        <v/>
      </c>
      <c r="F14" s="38" t="str">
        <f>IF([4]Doug!F14=0,"",[4]Doug!F14)</f>
        <v/>
      </c>
      <c r="G14" t="str">
        <f t="shared" si="0"/>
        <v/>
      </c>
    </row>
    <row r="15" spans="1:7" x14ac:dyDescent="0.2">
      <c r="A15" s="2" t="s">
        <v>20</v>
      </c>
      <c r="B15" s="39" t="str">
        <f>IF([4]Doug!B15=0,"",[4]Doug!B15)</f>
        <v/>
      </c>
      <c r="C15" s="39" t="str">
        <f>IF([4]Doug!C15=0,"",[4]Doug!C15)</f>
        <v/>
      </c>
      <c r="D15" s="39" t="str">
        <f>IF([4]Doug!D15=0,"",[4]Doug!D15)</f>
        <v/>
      </c>
      <c r="E15" s="39" t="str">
        <f>IF([4]Doug!E15=0,"",[4]Doug!E15)</f>
        <v/>
      </c>
      <c r="F15" s="40" t="str">
        <f>IF([4]Doug!F15=0,"",[4]Doug!F15)</f>
        <v/>
      </c>
      <c r="G15" t="str">
        <f t="shared" si="0"/>
        <v/>
      </c>
    </row>
    <row r="16" spans="1:7" x14ac:dyDescent="0.2">
      <c r="A16" s="2" t="s">
        <v>11</v>
      </c>
      <c r="B16" s="37" t="str">
        <f>IF([4]Doug!B16=0,"",[4]Doug!B16)</f>
        <v/>
      </c>
      <c r="C16" s="37" t="str">
        <f>IF([4]Doug!C16=0,"",[4]Doug!C16)</f>
        <v/>
      </c>
      <c r="D16" s="37" t="str">
        <f>IF([4]Doug!D16=0,"",[4]Doug!D16)</f>
        <v/>
      </c>
      <c r="E16" s="37" t="str">
        <f>IF([4]Doug!E16=0,"",[4]Doug!E16)</f>
        <v/>
      </c>
      <c r="F16" s="38" t="str">
        <f>IF([4]Doug!F16=0,"",[4]Doug!F16)</f>
        <v/>
      </c>
      <c r="G16" t="str">
        <f t="shared" si="0"/>
        <v/>
      </c>
    </row>
    <row r="17" spans="1:78" x14ac:dyDescent="0.2">
      <c r="A17" s="2" t="s">
        <v>21</v>
      </c>
      <c r="B17" s="39" t="str">
        <f>IF([4]Doug!B17=0,"",[4]Doug!B17)</f>
        <v/>
      </c>
      <c r="C17" s="39" t="str">
        <f>IF([4]Doug!C17=0,"",[4]Doug!C17)</f>
        <v/>
      </c>
      <c r="D17" s="39" t="str">
        <f>IF([4]Doug!D17=0,"",[4]Doug!D17)</f>
        <v/>
      </c>
      <c r="E17" s="39" t="str">
        <f>IF([4]Doug!E17=0,"",[4]Doug!E17)</f>
        <v/>
      </c>
      <c r="F17" s="40" t="str">
        <f>IF([4]Doug!F17=0,"",[4]Doug!F17)</f>
        <v/>
      </c>
      <c r="G17" t="str">
        <f t="shared" si="0"/>
        <v/>
      </c>
    </row>
    <row r="18" spans="1:78" x14ac:dyDescent="0.2">
      <c r="A18" s="2" t="s">
        <v>22</v>
      </c>
      <c r="B18" s="37" t="str">
        <f>IF([4]Doug!B18=0,"",[4]Doug!B18)</f>
        <v/>
      </c>
      <c r="C18" s="37" t="str">
        <f>IF([4]Doug!C18=0,"",[4]Doug!C18)</f>
        <v/>
      </c>
      <c r="D18" s="37" t="str">
        <f>IF([4]Doug!D18=0,"",[4]Doug!D18)</f>
        <v/>
      </c>
      <c r="E18" s="37" t="str">
        <f>IF([4]Doug!E18=0,"",[4]Doug!E18)</f>
        <v/>
      </c>
      <c r="F18" s="38" t="str">
        <f>IF([4]Doug!F18=0,"",[4]Doug!F18)</f>
        <v/>
      </c>
      <c r="G18" t="str">
        <f t="shared" si="0"/>
        <v/>
      </c>
    </row>
    <row r="19" spans="1:78" s="1" customFormat="1" ht="16" thickBot="1" x14ac:dyDescent="0.25">
      <c r="A19" s="2" t="s">
        <v>23</v>
      </c>
      <c r="B19" s="41" t="str">
        <f>IF([4]Doug!B19=0,"",[4]Doug!B19)</f>
        <v/>
      </c>
      <c r="C19" s="41" t="str">
        <f>IF([4]Doug!C19=0,"",[4]Doug!C19)</f>
        <v/>
      </c>
      <c r="D19" s="41" t="str">
        <f>IF([4]Doug!D19=0,"",[4]Doug!D19)</f>
        <v/>
      </c>
      <c r="E19" s="41" t="str">
        <f>IF([4]Doug!E19=0,"",[4]Doug!E19)</f>
        <v/>
      </c>
      <c r="F19" s="42" t="str">
        <f>IF([4]Doug!F19=0,"",[4]Doug!F19)</f>
        <v/>
      </c>
      <c r="G19" t="str">
        <f t="shared" si="0"/>
        <v/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</row>
    <row r="20" spans="1:78" s="1" customFormat="1" ht="16" thickBot="1" x14ac:dyDescent="0.25">
      <c r="A20" s="27" t="s">
        <v>9</v>
      </c>
      <c r="B20" s="28">
        <f t="shared" ref="B20:F20" si="1">IF(SUM(B7:B19)=0,"",SUM(B7:B19))</f>
        <v>23</v>
      </c>
      <c r="C20" s="28">
        <f t="shared" si="1"/>
        <v>33</v>
      </c>
      <c r="D20" s="28">
        <f t="shared" si="1"/>
        <v>15</v>
      </c>
      <c r="E20" s="28" t="str">
        <f t="shared" si="1"/>
        <v/>
      </c>
      <c r="F20" s="29" t="str">
        <f t="shared" si="1"/>
        <v/>
      </c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</row>
    <row r="21" spans="1:78" s="1" customFormat="1" x14ac:dyDescent="0.2">
      <c r="A21" s="30"/>
      <c r="B21" s="31" t="s">
        <v>2</v>
      </c>
      <c r="C21" s="31" t="s">
        <v>24</v>
      </c>
      <c r="D21" s="31" t="s">
        <v>25</v>
      </c>
      <c r="E21" s="31" t="s">
        <v>26</v>
      </c>
      <c r="F21" s="32" t="s">
        <v>10</v>
      </c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</row>
    <row r="22" spans="1:78" s="1" customFormat="1" ht="14.75" customHeight="1" x14ac:dyDescent="0.2">
      <c r="A22" s="33" t="s">
        <v>28</v>
      </c>
      <c r="B22" s="43" t="str">
        <f>IF([4]Doug!B22=0,"",[4]Doug!B22)</f>
        <v/>
      </c>
      <c r="C22" s="43" t="str">
        <f>IF([4]Doug!C22=0,"",[4]Doug!C22)</f>
        <v/>
      </c>
      <c r="D22" s="43" t="str">
        <f>IF([4]Doug!D22=0,"",[4]Doug!D22)</f>
        <v/>
      </c>
      <c r="E22" s="43" t="str">
        <f>IF([4]Doug!E22=0,"",[4]Doug!E22)</f>
        <v/>
      </c>
      <c r="F22" s="44" t="str">
        <f>IF([4]Doug!F22=0,"",[4]Doug!F22)</f>
        <v/>
      </c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</row>
    <row r="23" spans="1:78" s="1" customFormat="1" ht="14.5" customHeight="1" thickBot="1" x14ac:dyDescent="0.25">
      <c r="A23" s="33" t="s">
        <v>29</v>
      </c>
      <c r="B23" s="43" t="str">
        <f>IF([4]Doug!B23=0,"",[4]Doug!B23)</f>
        <v/>
      </c>
      <c r="C23" s="43" t="str">
        <f>IF([4]Doug!C23=0,"",[4]Doug!C23)</f>
        <v/>
      </c>
      <c r="D23" s="43" t="str">
        <f>IF([4]Doug!D23=0,"",[4]Doug!D23)</f>
        <v/>
      </c>
      <c r="E23" s="43" t="str">
        <f>IF([4]Doug!E23=0,"",[4]Doug!E23)</f>
        <v/>
      </c>
      <c r="F23" s="44" t="str">
        <f>IF([4]Doug!F23=0,"",[4]Doug!F23)</f>
        <v/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78" s="1" customFormat="1" ht="15" customHeight="1" x14ac:dyDescent="0.2">
      <c r="A24" s="72" t="s">
        <v>8</v>
      </c>
      <c r="B24" s="73"/>
      <c r="C24" s="73"/>
      <c r="D24" s="73"/>
      <c r="E24" s="73"/>
      <c r="F24" s="7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78" s="1" customFormat="1" ht="15.75" customHeight="1" thickBot="1" x14ac:dyDescent="0.25">
      <c r="A25" s="75"/>
      <c r="B25" s="76"/>
      <c r="C25" s="76"/>
      <c r="D25" s="76"/>
      <c r="E25" s="76"/>
      <c r="F25" s="77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78" s="1" customFormat="1" ht="30" customHeight="1" x14ac:dyDescent="0.2">
      <c r="A26" s="78" t="s">
        <v>7</v>
      </c>
      <c r="B26" s="79" t="str">
        <f>IF([4]Doug!B26=0,"",[4]Doug!B26)</f>
        <v>0.5 hr.s OTIF; 3.5 hr.s problem solve; S/N recovery has been done, but not received; TOAs and multiple other problems still require attention causing a lower UPH</v>
      </c>
      <c r="C26" s="79"/>
      <c r="D26" s="79"/>
      <c r="E26" s="79"/>
      <c r="F26" s="80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78" s="1" customFormat="1" ht="30" customHeight="1" x14ac:dyDescent="0.2">
      <c r="A27" s="66"/>
      <c r="B27" s="67"/>
      <c r="C27" s="67"/>
      <c r="D27" s="67"/>
      <c r="E27" s="67"/>
      <c r="F27" s="68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78" s="1" customFormat="1" ht="30" customHeight="1" x14ac:dyDescent="0.2">
      <c r="A28" s="66" t="s">
        <v>6</v>
      </c>
      <c r="B28" s="67" t="str">
        <f>IF([4]Doug!B28=0,"",[4]Doug!B28)</f>
        <v>0.5 hr.s OTIF; 3.5 hr.s problem solve; 0.75 hr.s tech meeting; S/N recovery has been done, but not received; TOAs and multiple other problems still require attention causing a lower UPH</v>
      </c>
      <c r="C28" s="67"/>
      <c r="D28" s="67"/>
      <c r="E28" s="67"/>
      <c r="F28" s="6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78" s="1" customFormat="1" ht="30" customHeight="1" x14ac:dyDescent="0.2">
      <c r="A29" s="66"/>
      <c r="B29" s="67"/>
      <c r="C29" s="67"/>
      <c r="D29" s="67"/>
      <c r="E29" s="67"/>
      <c r="F29" s="68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78" s="1" customFormat="1" ht="30" customHeight="1" x14ac:dyDescent="0.2">
      <c r="A30" s="66" t="s">
        <v>3</v>
      </c>
      <c r="B30" s="67" t="str">
        <f>IF([4]Doug!B30=0,"",[4]Doug!B30)</f>
        <v>0.5 hr.s OTIF; 1.0 hr.s Zebra RMA/ shipping; 3.5 hr.s problem solve; S/N recovery has been done, but not received; TOAs and multiple other problems still require attention causing a lower UPH</v>
      </c>
      <c r="C30" s="67"/>
      <c r="D30" s="67"/>
      <c r="E30" s="67"/>
      <c r="F30" s="68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78" s="1" customFormat="1" ht="30" customHeight="1" x14ac:dyDescent="0.2">
      <c r="A31" s="66"/>
      <c r="B31" s="67"/>
      <c r="C31" s="67"/>
      <c r="D31" s="67"/>
      <c r="E31" s="67"/>
      <c r="F31" s="68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78" s="1" customFormat="1" ht="30" customHeight="1" x14ac:dyDescent="0.2">
      <c r="A32" s="66" t="s">
        <v>4</v>
      </c>
      <c r="B32" s="67" t="str">
        <f>IF([4]Doug!B32=0,"",[4]Doug!B32)</f>
        <v/>
      </c>
      <c r="C32" s="67"/>
      <c r="D32" s="67"/>
      <c r="E32" s="67"/>
      <c r="F32" s="68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70" s="1" customFormat="1" ht="30" customHeight="1" x14ac:dyDescent="0.2">
      <c r="A33" s="66"/>
      <c r="B33" s="67"/>
      <c r="C33" s="67"/>
      <c r="D33" s="67"/>
      <c r="E33" s="67"/>
      <c r="F33" s="68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70" s="1" customFormat="1" ht="30" customHeight="1" x14ac:dyDescent="0.2">
      <c r="A34" s="66" t="s">
        <v>5</v>
      </c>
      <c r="B34" s="67" t="str">
        <f>IF([4]Doug!B34=0,"",[4]Doug!B34)</f>
        <v/>
      </c>
      <c r="C34" s="67"/>
      <c r="D34" s="67"/>
      <c r="E34" s="67"/>
      <c r="F34" s="68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70" s="1" customFormat="1" ht="30" customHeight="1" thickBot="1" x14ac:dyDescent="0.25">
      <c r="A35" s="69"/>
      <c r="B35" s="70"/>
      <c r="C35" s="70"/>
      <c r="D35" s="70"/>
      <c r="E35" s="70"/>
      <c r="F35" s="71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70" s="1" customFormat="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70" s="1" customForma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70" s="1" customFormat="1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</row>
    <row r="39" spans="1:70" s="1" customFormat="1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</row>
    <row r="40" spans="1:70" s="1" customFormat="1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</row>
    <row r="41" spans="1:70" s="1" customFormat="1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</row>
    <row r="42" spans="1:70" s="1" customFormat="1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</row>
    <row r="43" spans="1:70" s="1" customFormat="1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</row>
    <row r="44" spans="1:70" s="1" customFormat="1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</row>
    <row r="45" spans="1:70" s="1" customFormat="1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</row>
    <row r="46" spans="1:70" s="1" customFormat="1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</row>
    <row r="47" spans="1:70" s="1" customFormat="1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</row>
    <row r="48" spans="1:70" s="1" customFormat="1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</row>
    <row r="49" spans="1:78" s="1" customFormat="1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</row>
    <row r="50" spans="1:78" s="1" customFormat="1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</row>
    <row r="51" spans="1:78" s="1" customFormat="1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</row>
    <row r="52" spans="1:78" s="1" customFormat="1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</row>
    <row r="53" spans="1:78" s="1" customFormat="1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</row>
    <row r="54" spans="1:78" s="1" customFormat="1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</row>
    <row r="55" spans="1:78" s="1" customFormat="1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</row>
    <row r="56" spans="1:78" s="1" customFormat="1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</row>
    <row r="57" spans="1:78" s="1" customFormat="1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</row>
    <row r="58" spans="1:78" s="1" customFormat="1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</row>
    <row r="59" spans="1:78" s="1" customFormat="1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</row>
    <row r="60" spans="1:78" s="1" customFormat="1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</row>
    <row r="61" spans="1:78" s="1" customFormat="1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</row>
    <row r="62" spans="1:78" s="1" customFormat="1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</row>
    <row r="63" spans="1:78" s="1" customFormat="1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</row>
    <row r="64" spans="1:78" s="1" customFormat="1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</row>
    <row r="65" spans="1:78" s="1" customFormat="1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</row>
    <row r="66" spans="1:78" s="1" customFormat="1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</row>
  </sheetData>
  <sheetProtection algorithmName="SHA-512" hashValue="wH0lSr3T9otaGXBdv1/Lhu/sF633bB7goSniVEPHT7VB13I9XaTDARNgT1WHyI+W1pWveWiwvxxZQWbkHiK/XA==" saltValue="ibQ+DCsMFJDKMv7euYj4aw==" spinCount="100000" sheet="1" objects="1" scenarios="1"/>
  <dataConsolidate>
    <dataRefs count="4">
      <dataRef ref="C11:H28" sheet="Bashar" r:id="rId1"/>
      <dataRef ref="C11:H28" sheet="Darius" r:id="rId2"/>
      <dataRef ref="C11:H28" sheet="George" r:id="rId3"/>
      <dataRef ref="C11:H28" sheet="Rich" r:id="rId4"/>
    </dataRefs>
  </dataConsolidate>
  <mergeCells count="13">
    <mergeCell ref="A28:A29"/>
    <mergeCell ref="B28:F29"/>
    <mergeCell ref="A1:F3"/>
    <mergeCell ref="A4:F5"/>
    <mergeCell ref="A24:F25"/>
    <mergeCell ref="A26:A27"/>
    <mergeCell ref="B26:F27"/>
    <mergeCell ref="A30:A31"/>
    <mergeCell ref="B30:F31"/>
    <mergeCell ref="A32:A33"/>
    <mergeCell ref="B32:F33"/>
    <mergeCell ref="A34:A35"/>
    <mergeCell ref="B34:F35"/>
  </mergeCells>
  <pageMargins left="0.7" right="0.7" top="0.75" bottom="0.75" header="0.3" footer="0.3"/>
  <pageSetup scale="10" orientation="portrait" horizontalDpi="203" verticalDpi="203"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8AB40-6C00-4523-9D92-5C916BADB3E4}">
  <sheetPr codeName="Sheet8">
    <tabColor theme="9" tint="0.39997558519241921"/>
    <pageSetUpPr fitToPage="1"/>
  </sheetPr>
  <dimension ref="A1:BZ66"/>
  <sheetViews>
    <sheetView topLeftCell="A12" zoomScale="115" zoomScaleNormal="115" workbookViewId="0">
      <selection activeCell="J27" sqref="J27"/>
    </sheetView>
  </sheetViews>
  <sheetFormatPr baseColWidth="10" defaultColWidth="8.83203125" defaultRowHeight="15" x14ac:dyDescent="0.2"/>
  <cols>
    <col min="1" max="1" width="25.6640625" bestFit="1" customWidth="1"/>
    <col min="2" max="3" width="8.33203125" bestFit="1" customWidth="1"/>
    <col min="4" max="4" width="11.5" bestFit="1" customWidth="1"/>
    <col min="5" max="5" width="9" bestFit="1" customWidth="1"/>
    <col min="6" max="6" width="6.5" bestFit="1" customWidth="1"/>
    <col min="7" max="7" width="0" hidden="1" customWidth="1"/>
  </cols>
  <sheetData>
    <row r="1" spans="1:7" ht="14.75" customHeight="1" x14ac:dyDescent="0.2">
      <c r="A1" s="51" t="s">
        <v>0</v>
      </c>
      <c r="B1" s="52"/>
      <c r="C1" s="52"/>
      <c r="D1" s="52"/>
      <c r="E1" s="52"/>
      <c r="F1" s="53"/>
    </row>
    <row r="2" spans="1:7" ht="14.75" customHeight="1" x14ac:dyDescent="0.2">
      <c r="A2" s="54"/>
      <c r="B2" s="55"/>
      <c r="C2" s="55"/>
      <c r="D2" s="55"/>
      <c r="E2" s="55"/>
      <c r="F2" s="56"/>
    </row>
    <row r="3" spans="1:7" ht="14.75" customHeight="1" thickBot="1" x14ac:dyDescent="0.25">
      <c r="A3" s="57"/>
      <c r="B3" s="58"/>
      <c r="C3" s="58"/>
      <c r="D3" s="58"/>
      <c r="E3" s="58"/>
      <c r="F3" s="59"/>
    </row>
    <row r="4" spans="1:7" ht="14.75" customHeight="1" x14ac:dyDescent="0.2">
      <c r="A4" s="60" t="s">
        <v>27</v>
      </c>
      <c r="B4" s="61"/>
      <c r="C4" s="61"/>
      <c r="D4" s="61"/>
      <c r="E4" s="61"/>
      <c r="F4" s="62"/>
    </row>
    <row r="5" spans="1:7" ht="14.75" customHeight="1" thickBot="1" x14ac:dyDescent="0.25">
      <c r="A5" s="63"/>
      <c r="B5" s="64"/>
      <c r="C5" s="64"/>
      <c r="D5" s="64"/>
      <c r="E5" s="64"/>
      <c r="F5" s="65"/>
    </row>
    <row r="6" spans="1:7" ht="16" thickBot="1" x14ac:dyDescent="0.25">
      <c r="A6" s="3" t="s">
        <v>1</v>
      </c>
      <c r="B6" s="25" t="s">
        <v>2</v>
      </c>
      <c r="C6" s="23" t="s">
        <v>24</v>
      </c>
      <c r="D6" s="23" t="s">
        <v>25</v>
      </c>
      <c r="E6" s="23" t="s">
        <v>26</v>
      </c>
      <c r="F6" s="26" t="s">
        <v>10</v>
      </c>
    </row>
    <row r="7" spans="1:7" x14ac:dyDescent="0.2">
      <c r="A7" s="2" t="s">
        <v>12</v>
      </c>
      <c r="B7" s="35" t="str">
        <f>IF([5]George!B7=0,"",[5]George!B7)</f>
        <v/>
      </c>
      <c r="C7" s="35" t="str">
        <f>IF([5]George!C7=0,"",[5]George!C7)</f>
        <v/>
      </c>
      <c r="D7" s="35" t="str">
        <f>IF([5]George!D7=0,"",[5]George!D7)</f>
        <v/>
      </c>
      <c r="E7" s="35" t="str">
        <f>IF([5]George!E7=0,"",[5]George!E7)</f>
        <v/>
      </c>
      <c r="F7" s="36" t="str">
        <f>IF([5]George!F7=0,"",[5]George!F7)</f>
        <v/>
      </c>
      <c r="G7" t="str">
        <f>IF(SUM(B7,C7,D7,E7,F7)=0,"",SUM(B7,C7,D7,E7,F7))</f>
        <v/>
      </c>
    </row>
    <row r="8" spans="1:7" x14ac:dyDescent="0.2">
      <c r="A8" s="2" t="s">
        <v>13</v>
      </c>
      <c r="B8" s="37" t="str">
        <f>IF([5]George!B8=0,"",[5]George!B8)</f>
        <v/>
      </c>
      <c r="C8" s="37" t="str">
        <f>IF([5]George!C8=0,"",[5]George!C8)</f>
        <v/>
      </c>
      <c r="D8" s="37" t="str">
        <f>IF([5]George!D8=0,"",[5]George!D8)</f>
        <v/>
      </c>
      <c r="E8" s="37" t="str">
        <f>IF([5]George!E8=0,"",[5]George!E8)</f>
        <v/>
      </c>
      <c r="F8" s="38" t="str">
        <f>IF([5]George!F8=0,"",[5]George!F8)</f>
        <v/>
      </c>
      <c r="G8" t="str">
        <f t="shared" ref="G8:G19" si="0">IF(SUM(B8,C8,D8,E8,F8)=0,"",SUM(B8,C8,D8,E8,F8))</f>
        <v/>
      </c>
    </row>
    <row r="9" spans="1:7" x14ac:dyDescent="0.2">
      <c r="A9" s="2" t="s">
        <v>14</v>
      </c>
      <c r="B9" s="39" t="str">
        <f>IF([5]George!B9=0,"",[5]George!B9)</f>
        <v/>
      </c>
      <c r="C9" s="39" t="str">
        <f>IF([5]George!C9=0,"",[5]George!C9)</f>
        <v/>
      </c>
      <c r="D9" s="39" t="str">
        <f>IF([5]George!D9=0,"",[5]George!D9)</f>
        <v/>
      </c>
      <c r="E9" s="39" t="str">
        <f>IF([5]George!E9=0,"",[5]George!E9)</f>
        <v/>
      </c>
      <c r="F9" s="40" t="str">
        <f>IF([5]George!F9=0,"",[5]George!F9)</f>
        <v/>
      </c>
      <c r="G9" t="str">
        <f t="shared" si="0"/>
        <v/>
      </c>
    </row>
    <row r="10" spans="1:7" x14ac:dyDescent="0.2">
      <c r="A10" s="2" t="s">
        <v>15</v>
      </c>
      <c r="B10" s="37" t="str">
        <f>IF([5]George!B10=0,"",[5]George!B10)</f>
        <v/>
      </c>
      <c r="C10" s="37" t="str">
        <f>IF([5]George!C10=0,"",[5]George!C10)</f>
        <v/>
      </c>
      <c r="D10" s="37" t="str">
        <f>IF([5]George!D10=0,"",[5]George!D10)</f>
        <v/>
      </c>
      <c r="E10" s="37" t="str">
        <f>IF([5]George!E10=0,"",[5]George!E10)</f>
        <v/>
      </c>
      <c r="F10" s="38" t="str">
        <f>IF([5]George!F10=0,"",[5]George!F10)</f>
        <v/>
      </c>
      <c r="G10" t="str">
        <f t="shared" si="0"/>
        <v/>
      </c>
    </row>
    <row r="11" spans="1:7" x14ac:dyDescent="0.2">
      <c r="A11" s="2" t="s">
        <v>16</v>
      </c>
      <c r="B11" s="39" t="str">
        <f>IF([5]George!B11=0,"",[5]George!B11)</f>
        <v/>
      </c>
      <c r="C11" s="39" t="str">
        <f>IF([5]George!C11=0,"",[5]George!C11)</f>
        <v/>
      </c>
      <c r="D11" s="39" t="str">
        <f>IF([5]George!D11=0,"",[5]George!D11)</f>
        <v/>
      </c>
      <c r="E11" s="39" t="str">
        <f>IF([5]George!E11=0,"",[5]George!E11)</f>
        <v/>
      </c>
      <c r="F11" s="40" t="str">
        <f>IF([5]George!F11=0,"",[5]George!F11)</f>
        <v/>
      </c>
      <c r="G11" t="str">
        <f t="shared" si="0"/>
        <v/>
      </c>
    </row>
    <row r="12" spans="1:7" x14ac:dyDescent="0.2">
      <c r="A12" s="2" t="s">
        <v>17</v>
      </c>
      <c r="B12" s="37" t="str">
        <f>IF([5]George!B12=0,"",[5]George!B12)</f>
        <v/>
      </c>
      <c r="C12" s="37" t="str">
        <f>IF([5]George!C12=0,"",[5]George!C12)</f>
        <v/>
      </c>
      <c r="D12" s="37" t="str">
        <f>IF([5]George!D12=0,"",[5]George!D12)</f>
        <v/>
      </c>
      <c r="E12" s="37" t="str">
        <f>IF([5]George!E12=0,"",[5]George!E12)</f>
        <v/>
      </c>
      <c r="F12" s="38" t="str">
        <f>IF([5]George!F12=0,"",[5]George!F12)</f>
        <v/>
      </c>
      <c r="G12" t="str">
        <f t="shared" si="0"/>
        <v/>
      </c>
    </row>
    <row r="13" spans="1:7" x14ac:dyDescent="0.2">
      <c r="A13" s="2" t="s">
        <v>18</v>
      </c>
      <c r="B13" s="39" t="str">
        <f>IF([5]George!B13=0,"",[5]George!B13)</f>
        <v/>
      </c>
      <c r="C13" s="39" t="str">
        <f>IF([5]George!C13=0,"",[5]George!C13)</f>
        <v/>
      </c>
      <c r="D13" s="39" t="str">
        <f>IF([5]George!D13=0,"",[5]George!D13)</f>
        <v/>
      </c>
      <c r="E13" s="39" t="str">
        <f>IF([5]George!E13=0,"",[5]George!E13)</f>
        <v/>
      </c>
      <c r="F13" s="40" t="str">
        <f>IF([5]George!F13=0,"",[5]George!F13)</f>
        <v/>
      </c>
      <c r="G13" t="str">
        <f t="shared" si="0"/>
        <v/>
      </c>
    </row>
    <row r="14" spans="1:7" x14ac:dyDescent="0.2">
      <c r="A14" s="2" t="s">
        <v>19</v>
      </c>
      <c r="B14" s="37" t="str">
        <f>IF([5]George!B14=0,"",[5]George!B14)</f>
        <v/>
      </c>
      <c r="C14" s="37" t="str">
        <f>IF([5]George!C14=0,"",[5]George!C14)</f>
        <v/>
      </c>
      <c r="D14" s="37" t="str">
        <f>IF([5]George!D14=0,"",[5]George!D14)</f>
        <v/>
      </c>
      <c r="E14" s="37" t="str">
        <f>IF([5]George!E14=0,"",[5]George!E14)</f>
        <v/>
      </c>
      <c r="F14" s="38" t="str">
        <f>IF([5]George!F14=0,"",[5]George!F14)</f>
        <v/>
      </c>
      <c r="G14" t="str">
        <f t="shared" si="0"/>
        <v/>
      </c>
    </row>
    <row r="15" spans="1:7" x14ac:dyDescent="0.2">
      <c r="A15" s="2" t="s">
        <v>20</v>
      </c>
      <c r="B15" s="39" t="str">
        <f>IF([5]George!B15=0,"",[5]George!B15)</f>
        <v/>
      </c>
      <c r="C15" s="39" t="str">
        <f>IF([5]George!C15=0,"",[5]George!C15)</f>
        <v/>
      </c>
      <c r="D15" s="39" t="str">
        <f>IF([5]George!D15=0,"",[5]George!D15)</f>
        <v/>
      </c>
      <c r="E15" s="39" t="str">
        <f>IF([5]George!E15=0,"",[5]George!E15)</f>
        <v/>
      </c>
      <c r="F15" s="40" t="str">
        <f>IF([5]George!F15=0,"",[5]George!F15)</f>
        <v/>
      </c>
      <c r="G15" t="str">
        <f t="shared" si="0"/>
        <v/>
      </c>
    </row>
    <row r="16" spans="1:7" x14ac:dyDescent="0.2">
      <c r="A16" s="2" t="s">
        <v>11</v>
      </c>
      <c r="B16" s="37" t="str">
        <f>IF([5]George!B16=0,"",[5]George!B16)</f>
        <v/>
      </c>
      <c r="C16" s="37" t="str">
        <f>IF([5]George!C16=0,"",[5]George!C16)</f>
        <v/>
      </c>
      <c r="D16" s="37" t="str">
        <f>IF([5]George!D16=0,"",[5]George!D16)</f>
        <v/>
      </c>
      <c r="E16" s="37" t="str">
        <f>IF([5]George!E16=0,"",[5]George!E16)</f>
        <v/>
      </c>
      <c r="F16" s="38" t="str">
        <f>IF([5]George!F16=0,"",[5]George!F16)</f>
        <v/>
      </c>
      <c r="G16" t="str">
        <f t="shared" si="0"/>
        <v/>
      </c>
    </row>
    <row r="17" spans="1:78" x14ac:dyDescent="0.2">
      <c r="A17" s="2" t="s">
        <v>21</v>
      </c>
      <c r="B17" s="39" t="str">
        <f>IF([5]George!B17=0,"",[5]George!B17)</f>
        <v/>
      </c>
      <c r="C17" s="39" t="str">
        <f>IF([5]George!C17=0,"",[5]George!C17)</f>
        <v/>
      </c>
      <c r="D17" s="39" t="str">
        <f>IF([5]George!D17=0,"",[5]George!D17)</f>
        <v/>
      </c>
      <c r="E17" s="39" t="str">
        <f>IF([5]George!E17=0,"",[5]George!E17)</f>
        <v/>
      </c>
      <c r="F17" s="40" t="str">
        <f>IF([5]George!F17=0,"",[5]George!F17)</f>
        <v/>
      </c>
      <c r="G17" t="str">
        <f t="shared" si="0"/>
        <v/>
      </c>
    </row>
    <row r="18" spans="1:78" x14ac:dyDescent="0.2">
      <c r="A18" s="2" t="s">
        <v>22</v>
      </c>
      <c r="B18" s="37" t="str">
        <f>IF([5]George!B18=0,"",[5]George!B18)</f>
        <v/>
      </c>
      <c r="C18" s="37">
        <f>IF([5]George!C18=0,"",[5]George!C18)</f>
        <v>1</v>
      </c>
      <c r="D18" s="37" t="str">
        <f>IF([5]George!D18=0,"",[5]George!D18)</f>
        <v/>
      </c>
      <c r="E18" s="37" t="str">
        <f>IF([5]George!E18=0,"",[5]George!E18)</f>
        <v/>
      </c>
      <c r="F18" s="38" t="str">
        <f>IF([5]George!F18=0,"",[5]George!F18)</f>
        <v/>
      </c>
      <c r="G18">
        <f t="shared" si="0"/>
        <v>1</v>
      </c>
    </row>
    <row r="19" spans="1:78" s="1" customFormat="1" ht="16" thickBot="1" x14ac:dyDescent="0.25">
      <c r="A19" s="2" t="s">
        <v>23</v>
      </c>
      <c r="B19" s="41">
        <f>IF([5]George!B19=0,"",[5]George!B19)</f>
        <v>252</v>
      </c>
      <c r="C19" s="41">
        <f>IF([5]George!C19=0,"",[5]George!C19)</f>
        <v>228</v>
      </c>
      <c r="D19" s="41">
        <f>IF([5]George!D19=0,"",[5]George!D19)</f>
        <v>192</v>
      </c>
      <c r="E19" s="41" t="str">
        <f>IF([5]George!E19=0,"",[5]George!E19)</f>
        <v/>
      </c>
      <c r="F19" s="42" t="str">
        <f>IF([5]George!F19=0,"",[5]George!F19)</f>
        <v/>
      </c>
      <c r="G19">
        <f t="shared" si="0"/>
        <v>672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</row>
    <row r="20" spans="1:78" s="1" customFormat="1" ht="16" thickBot="1" x14ac:dyDescent="0.25">
      <c r="A20" s="27" t="s">
        <v>9</v>
      </c>
      <c r="B20" s="28">
        <f t="shared" ref="B20:F20" si="1">IF(SUM(B7:B19)=0,"",SUM(B7:B19))</f>
        <v>252</v>
      </c>
      <c r="C20" s="28">
        <f t="shared" si="1"/>
        <v>229</v>
      </c>
      <c r="D20" s="28">
        <f t="shared" si="1"/>
        <v>192</v>
      </c>
      <c r="E20" s="28" t="str">
        <f t="shared" si="1"/>
        <v/>
      </c>
      <c r="F20" s="29" t="str">
        <f t="shared" si="1"/>
        <v/>
      </c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</row>
    <row r="21" spans="1:78" s="1" customFormat="1" x14ac:dyDescent="0.2">
      <c r="A21" s="30"/>
      <c r="B21" s="31" t="s">
        <v>2</v>
      </c>
      <c r="C21" s="31" t="s">
        <v>24</v>
      </c>
      <c r="D21" s="31" t="s">
        <v>25</v>
      </c>
      <c r="E21" s="31" t="s">
        <v>26</v>
      </c>
      <c r="F21" s="32" t="s">
        <v>10</v>
      </c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</row>
    <row r="22" spans="1:78" s="1" customFormat="1" ht="14.75" customHeight="1" x14ac:dyDescent="0.2">
      <c r="A22" s="33" t="s">
        <v>28</v>
      </c>
      <c r="B22" s="43">
        <f>IF([5]George!B22=0,"",[5]George!B22)</f>
        <v>8</v>
      </c>
      <c r="C22" s="43">
        <f>IF([5]George!C22=0,"",[5]George!C22)</f>
        <v>8</v>
      </c>
      <c r="D22" s="43">
        <f>IF([5]George!D22=0,"",[5]George!D22)</f>
        <v>7.5</v>
      </c>
      <c r="E22" s="43" t="str">
        <f>IF([5]George!E22=0,"",[5]George!E22)</f>
        <v>New</v>
      </c>
      <c r="F22" s="34" t="str">
        <f>IF([5]George!F22=0,"",[5]George!F22)</f>
        <v xml:space="preserve">out of </v>
      </c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</row>
    <row r="23" spans="1:78" s="1" customFormat="1" ht="14.5" customHeight="1" thickBot="1" x14ac:dyDescent="0.25">
      <c r="A23" s="33" t="s">
        <v>29</v>
      </c>
      <c r="B23" s="43" t="str">
        <f>IF([5]George!B23=0,"",[5]George!B23)</f>
        <v/>
      </c>
      <c r="C23" s="43" t="str">
        <f>IF([5]George!C23=0,"",[5]George!C23)</f>
        <v/>
      </c>
      <c r="D23" s="43" t="str">
        <f>IF([5]George!D23=0,"",[5]George!D23)</f>
        <v/>
      </c>
      <c r="E23" s="43" t="str">
        <f>IF([5]George!E23=0,"",[5]George!E23)</f>
        <v xml:space="preserve">Years </v>
      </c>
      <c r="F23" s="34" t="str">
        <f>IF([5]George!F23=0,"",[5]George!F23)</f>
        <v>office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78" s="1" customFormat="1" ht="15" customHeight="1" x14ac:dyDescent="0.2">
      <c r="A24" s="72" t="s">
        <v>8</v>
      </c>
      <c r="B24" s="73"/>
      <c r="C24" s="73"/>
      <c r="D24" s="73"/>
      <c r="E24" s="73"/>
      <c r="F24" s="7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78" s="1" customFormat="1" ht="15.75" customHeight="1" thickBot="1" x14ac:dyDescent="0.25">
      <c r="A25" s="75"/>
      <c r="B25" s="76"/>
      <c r="C25" s="76"/>
      <c r="D25" s="76"/>
      <c r="E25" s="76"/>
      <c r="F25" s="77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78" s="1" customFormat="1" ht="30" customHeight="1" x14ac:dyDescent="0.2">
      <c r="A26" s="78" t="s">
        <v>7</v>
      </c>
      <c r="B26" s="85" t="str">
        <f>IF([5]George!B26=0,"",[5]George!B26)</f>
        <v xml:space="preserve">RTV --- 168 MC33's / 84 TC57's --- 8hrs - 1 = 7 - .5 for helping new EC's = 6.5 - .5 for l1 help item numbers and locations = 6 - .5 PS devices = 5.5 x 35 units per hr = 192.5 devices for the day </v>
      </c>
      <c r="C26" s="85"/>
      <c r="D26" s="85"/>
      <c r="E26" s="85"/>
      <c r="F26" s="8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78" s="1" customFormat="1" ht="30" customHeight="1" x14ac:dyDescent="0.2">
      <c r="A27" s="66"/>
      <c r="B27" s="81"/>
      <c r="C27" s="81"/>
      <c r="D27" s="81"/>
      <c r="E27" s="81"/>
      <c r="F27" s="82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78" s="1" customFormat="1" ht="30" customHeight="1" x14ac:dyDescent="0.2">
      <c r="A28" s="66" t="s">
        <v>6</v>
      </c>
      <c r="B28" s="81" t="str">
        <f>IF([5]George!B28=0,"",[5]George!B28)</f>
        <v>RTV 144 MC33's / 84 TC57's --- liquidated 1 DTR700 -- 8 hrs - 1 = 7 - 1 hr for issues in morning = 6 - .75 for team meeting = 5.25 - .5 for TS devices = 4.75 x 35 units per hr = 166.25 devices for the day</v>
      </c>
      <c r="C28" s="81"/>
      <c r="D28" s="81"/>
      <c r="E28" s="81"/>
      <c r="F28" s="82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78" s="1" customFormat="1" ht="46.5" customHeight="1" x14ac:dyDescent="0.2">
      <c r="A29" s="66"/>
      <c r="B29" s="81"/>
      <c r="C29" s="81"/>
      <c r="D29" s="81"/>
      <c r="E29" s="81"/>
      <c r="F29" s="82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78" s="1" customFormat="1" ht="30" customHeight="1" x14ac:dyDescent="0.2">
      <c r="A30" s="66" t="s">
        <v>3</v>
      </c>
      <c r="B30" s="81" t="str">
        <f>IF([5]George!B30=0,"",[5]George!B30)</f>
        <v xml:space="preserve">RTV 168 TC57's / 24 MC33's --- 7.5 hrs - 2.5 hrs for shipping(18 totes plus had to refill boxes and dunnage) = 5 -1 hr = 4 - .5 ts devices= 3.5 - .5 for getting RTV ready to be shipped (creating TT and wrapping )= 3 hrs x 35 units per hr = 105 device for the day </v>
      </c>
      <c r="C30" s="81"/>
      <c r="D30" s="81"/>
      <c r="E30" s="81"/>
      <c r="F30" s="82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78" s="1" customFormat="1" ht="30" customHeight="1" x14ac:dyDescent="0.2">
      <c r="A31" s="66"/>
      <c r="B31" s="81"/>
      <c r="C31" s="81"/>
      <c r="D31" s="81"/>
      <c r="E31" s="81"/>
      <c r="F31" s="82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78" s="1" customFormat="1" ht="30" customHeight="1" x14ac:dyDescent="0.2">
      <c r="A32" s="66" t="s">
        <v>4</v>
      </c>
      <c r="B32" s="81" t="str">
        <f>IF([5]George!B32=0,"",[5]George!B32)</f>
        <v>New Years</v>
      </c>
      <c r="C32" s="81"/>
      <c r="D32" s="81"/>
      <c r="E32" s="81"/>
      <c r="F32" s="8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70" s="1" customFormat="1" ht="30" customHeight="1" x14ac:dyDescent="0.2">
      <c r="A33" s="66"/>
      <c r="B33" s="81"/>
      <c r="C33" s="81"/>
      <c r="D33" s="81"/>
      <c r="E33" s="81"/>
      <c r="F33" s="82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70" s="1" customFormat="1" ht="30" customHeight="1" x14ac:dyDescent="0.2">
      <c r="A34" s="66" t="s">
        <v>5</v>
      </c>
      <c r="B34" s="81" t="str">
        <f>IF([5]George!B34=0,"",[5]George!B34)</f>
        <v>out of office</v>
      </c>
      <c r="C34" s="81"/>
      <c r="D34" s="81"/>
      <c r="E34" s="81"/>
      <c r="F34" s="82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70" s="1" customFormat="1" ht="30" customHeight="1" thickBot="1" x14ac:dyDescent="0.25">
      <c r="A35" s="69"/>
      <c r="B35" s="83"/>
      <c r="C35" s="83"/>
      <c r="D35" s="83"/>
      <c r="E35" s="83"/>
      <c r="F35" s="84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70" s="1" customFormat="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70" s="1" customForma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70" s="1" customFormat="1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</row>
    <row r="39" spans="1:70" s="1" customFormat="1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</row>
    <row r="40" spans="1:70" s="1" customFormat="1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</row>
    <row r="41" spans="1:70" s="1" customFormat="1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</row>
    <row r="42" spans="1:70" s="1" customFormat="1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</row>
    <row r="43" spans="1:70" s="1" customFormat="1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</row>
    <row r="44" spans="1:70" s="1" customFormat="1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</row>
    <row r="45" spans="1:70" s="1" customFormat="1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</row>
    <row r="46" spans="1:70" s="1" customFormat="1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</row>
    <row r="47" spans="1:70" s="1" customFormat="1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</row>
    <row r="48" spans="1:70" s="1" customFormat="1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</row>
    <row r="49" spans="1:78" s="1" customFormat="1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</row>
    <row r="50" spans="1:78" s="1" customFormat="1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</row>
    <row r="51" spans="1:78" s="1" customFormat="1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</row>
    <row r="52" spans="1:78" s="1" customFormat="1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</row>
    <row r="53" spans="1:78" s="1" customFormat="1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</row>
    <row r="54" spans="1:78" s="1" customFormat="1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</row>
    <row r="55" spans="1:78" s="1" customFormat="1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</row>
    <row r="56" spans="1:78" s="1" customFormat="1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</row>
    <row r="57" spans="1:78" s="1" customFormat="1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</row>
    <row r="58" spans="1:78" s="1" customFormat="1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</row>
    <row r="59" spans="1:78" s="1" customFormat="1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</row>
    <row r="60" spans="1:78" s="1" customFormat="1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</row>
    <row r="61" spans="1:78" s="1" customFormat="1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</row>
    <row r="62" spans="1:78" s="1" customFormat="1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</row>
    <row r="63" spans="1:78" s="1" customFormat="1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</row>
    <row r="64" spans="1:78" s="1" customFormat="1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</row>
    <row r="65" spans="1:78" s="1" customFormat="1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</row>
    <row r="66" spans="1:78" s="1" customFormat="1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</row>
  </sheetData>
  <sheetProtection algorithmName="SHA-512" hashValue="zeMBwSHHTmEl+R31ZItopRALc4MerRCs08OjCjJ60fNMZ+XpyBGcFNTLBwt+J46/hFhNSG+PwNrL7f1UqcRTAg==" saltValue="USbckFSE33yYs0f/AjUvVQ==" spinCount="100000" sheet="1" objects="1" scenarios="1"/>
  <dataConsolidate>
    <dataRefs count="4">
      <dataRef ref="C11:H28" sheet="Bashar" r:id="rId1"/>
      <dataRef ref="C11:H28" sheet="Darius" r:id="rId2"/>
      <dataRef ref="C11:H28" sheet="George" r:id="rId3"/>
      <dataRef ref="C11:H28" sheet="Rich" r:id="rId4"/>
    </dataRefs>
  </dataConsolidate>
  <mergeCells count="13">
    <mergeCell ref="A28:A29"/>
    <mergeCell ref="B28:F29"/>
    <mergeCell ref="A1:F3"/>
    <mergeCell ref="A4:F5"/>
    <mergeCell ref="A24:F25"/>
    <mergeCell ref="A26:A27"/>
    <mergeCell ref="B26:F27"/>
    <mergeCell ref="A30:A31"/>
    <mergeCell ref="B30:F31"/>
    <mergeCell ref="A32:A33"/>
    <mergeCell ref="B32:F33"/>
    <mergeCell ref="A34:A35"/>
    <mergeCell ref="B34:F35"/>
  </mergeCells>
  <pageMargins left="0.7" right="0.7" top="0.75" bottom="0.75" header="0.3" footer="0.3"/>
  <pageSetup scale="10" orientation="portrait" horizontalDpi="203" verticalDpi="203"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B4A0A-C7B1-4BE1-913F-F437814A6435}">
  <sheetPr codeName="Sheet9">
    <tabColor theme="9" tint="0.39997558519241921"/>
    <pageSetUpPr fitToPage="1"/>
  </sheetPr>
  <dimension ref="A1:BZ66"/>
  <sheetViews>
    <sheetView topLeftCell="A13" zoomScaleNormal="100" workbookViewId="0">
      <selection activeCell="J16" sqref="J16"/>
    </sheetView>
  </sheetViews>
  <sheetFormatPr baseColWidth="10" defaultColWidth="8.83203125" defaultRowHeight="15" x14ac:dyDescent="0.2"/>
  <cols>
    <col min="1" max="1" width="25.6640625" bestFit="1" customWidth="1"/>
    <col min="2" max="3" width="8.33203125" bestFit="1" customWidth="1"/>
    <col min="4" max="4" width="11.5" bestFit="1" customWidth="1"/>
    <col min="5" max="5" width="9" bestFit="1" customWidth="1"/>
    <col min="6" max="6" width="6.5" bestFit="1" customWidth="1"/>
    <col min="7" max="7" width="0" hidden="1" customWidth="1"/>
  </cols>
  <sheetData>
    <row r="1" spans="1:7" ht="14.75" customHeight="1" x14ac:dyDescent="0.2">
      <c r="A1" s="51" t="s">
        <v>0</v>
      </c>
      <c r="B1" s="52"/>
      <c r="C1" s="52"/>
      <c r="D1" s="52"/>
      <c r="E1" s="52"/>
      <c r="F1" s="53"/>
    </row>
    <row r="2" spans="1:7" ht="14.75" customHeight="1" x14ac:dyDescent="0.2">
      <c r="A2" s="54"/>
      <c r="B2" s="55"/>
      <c r="C2" s="55"/>
      <c r="D2" s="55"/>
      <c r="E2" s="55"/>
      <c r="F2" s="56"/>
    </row>
    <row r="3" spans="1:7" ht="14.75" customHeight="1" thickBot="1" x14ac:dyDescent="0.25">
      <c r="A3" s="57"/>
      <c r="B3" s="58"/>
      <c r="C3" s="58"/>
      <c r="D3" s="58"/>
      <c r="E3" s="58"/>
      <c r="F3" s="59"/>
    </row>
    <row r="4" spans="1:7" ht="14.75" customHeight="1" x14ac:dyDescent="0.2">
      <c r="A4" s="60" t="s">
        <v>27</v>
      </c>
      <c r="B4" s="61"/>
      <c r="C4" s="61"/>
      <c r="D4" s="61"/>
      <c r="E4" s="61"/>
      <c r="F4" s="62"/>
    </row>
    <row r="5" spans="1:7" ht="14.75" customHeight="1" thickBot="1" x14ac:dyDescent="0.25">
      <c r="A5" s="63"/>
      <c r="B5" s="64"/>
      <c r="C5" s="64"/>
      <c r="D5" s="64"/>
      <c r="E5" s="64"/>
      <c r="F5" s="65"/>
    </row>
    <row r="6" spans="1:7" ht="16" thickBot="1" x14ac:dyDescent="0.25">
      <c r="A6" s="3" t="s">
        <v>1</v>
      </c>
      <c r="B6" s="25" t="s">
        <v>2</v>
      </c>
      <c r="C6" s="23" t="s">
        <v>24</v>
      </c>
      <c r="D6" s="23" t="s">
        <v>25</v>
      </c>
      <c r="E6" s="23" t="s">
        <v>26</v>
      </c>
      <c r="F6" s="26" t="s">
        <v>10</v>
      </c>
    </row>
    <row r="7" spans="1:7" x14ac:dyDescent="0.2">
      <c r="A7" s="2" t="s">
        <v>12</v>
      </c>
      <c r="B7" s="35" t="str">
        <f>IF([6]John!B7=0,"",[6]John!B7)</f>
        <v/>
      </c>
      <c r="C7" s="35" t="str">
        <f>IF([6]John!C7=0,"",[6]John!C7)</f>
        <v/>
      </c>
      <c r="D7" s="35" t="str">
        <f>IF([6]John!D7=0,"",[6]John!D7)</f>
        <v/>
      </c>
      <c r="E7" s="35" t="str">
        <f>IF([6]John!E7=0,"",[6]John!E7)</f>
        <v/>
      </c>
      <c r="F7" s="36" t="str">
        <f>IF([6]John!F7=0,"",[6]John!F7)</f>
        <v/>
      </c>
      <c r="G7" t="str">
        <f>IF(SUM(B7,C7,D7,E7,F7)=0,"",SUM(B7,C7,D7,E7,F7))</f>
        <v/>
      </c>
    </row>
    <row r="8" spans="1:7" x14ac:dyDescent="0.2">
      <c r="A8" s="2" t="s">
        <v>13</v>
      </c>
      <c r="B8" s="37" t="str">
        <f>IF([6]John!B8=0,"",[6]John!B8)</f>
        <v/>
      </c>
      <c r="C8" s="37" t="str">
        <f>IF([6]John!C8=0,"",[6]John!C8)</f>
        <v/>
      </c>
      <c r="D8" s="37" t="str">
        <f>IF([6]John!D8=0,"",[6]John!D8)</f>
        <v/>
      </c>
      <c r="E8" s="37" t="str">
        <f>IF([6]John!E8=0,"",[6]John!E8)</f>
        <v/>
      </c>
      <c r="F8" s="38" t="str">
        <f>IF([6]John!F8=0,"",[6]John!F8)</f>
        <v/>
      </c>
      <c r="G8" t="str">
        <f t="shared" ref="G8:G19" si="0">IF(SUM(B8,C8,D8,E8,F8)=0,"",SUM(B8,C8,D8,E8,F8))</f>
        <v/>
      </c>
    </row>
    <row r="9" spans="1:7" x14ac:dyDescent="0.2">
      <c r="A9" s="2" t="s">
        <v>14</v>
      </c>
      <c r="B9" s="39" t="str">
        <f>IF([6]John!B9=0,"",[6]John!B9)</f>
        <v/>
      </c>
      <c r="C9" s="39" t="str">
        <f>IF([6]John!C9=0,"",[6]John!C9)</f>
        <v/>
      </c>
      <c r="D9" s="39" t="str">
        <f>IF([6]John!D9=0,"",[6]John!D9)</f>
        <v/>
      </c>
      <c r="E9" s="39" t="str">
        <f>IF([6]John!E9=0,"",[6]John!E9)</f>
        <v/>
      </c>
      <c r="F9" s="40" t="str">
        <f>IF([6]John!F9=0,"",[6]John!F9)</f>
        <v/>
      </c>
      <c r="G9" t="str">
        <f t="shared" si="0"/>
        <v/>
      </c>
    </row>
    <row r="10" spans="1:7" x14ac:dyDescent="0.2">
      <c r="A10" s="2" t="s">
        <v>15</v>
      </c>
      <c r="B10" s="37" t="str">
        <f>IF([6]John!B10=0,"",[6]John!B10)</f>
        <v/>
      </c>
      <c r="C10" s="37" t="str">
        <f>IF([6]John!C10=0,"",[6]John!C10)</f>
        <v/>
      </c>
      <c r="D10" s="37" t="str">
        <f>IF([6]John!D10=0,"",[6]John!D10)</f>
        <v/>
      </c>
      <c r="E10" s="37" t="str">
        <f>IF([6]John!E10=0,"",[6]John!E10)</f>
        <v/>
      </c>
      <c r="F10" s="38" t="str">
        <f>IF([6]John!F10=0,"",[6]John!F10)</f>
        <v/>
      </c>
      <c r="G10" t="str">
        <f t="shared" si="0"/>
        <v/>
      </c>
    </row>
    <row r="11" spans="1:7" x14ac:dyDescent="0.2">
      <c r="A11" s="2" t="s">
        <v>16</v>
      </c>
      <c r="B11" s="39" t="str">
        <f>IF([6]John!B11=0,"",[6]John!B11)</f>
        <v/>
      </c>
      <c r="C11" s="39" t="str">
        <f>IF([6]John!C11=0,"",[6]John!C11)</f>
        <v/>
      </c>
      <c r="D11" s="39" t="str">
        <f>IF([6]John!D11=0,"",[6]John!D11)</f>
        <v/>
      </c>
      <c r="E11" s="39" t="str">
        <f>IF([6]John!E11=0,"",[6]John!E11)</f>
        <v/>
      </c>
      <c r="F11" s="40" t="str">
        <f>IF([6]John!F11=0,"",[6]John!F11)</f>
        <v/>
      </c>
      <c r="G11" t="str">
        <f t="shared" si="0"/>
        <v/>
      </c>
    </row>
    <row r="12" spans="1:7" x14ac:dyDescent="0.2">
      <c r="A12" s="2" t="s">
        <v>17</v>
      </c>
      <c r="B12" s="37" t="str">
        <f>IF([6]John!B12=0,"",[6]John!B12)</f>
        <v/>
      </c>
      <c r="C12" s="37" t="str">
        <f>IF([6]John!C12=0,"",[6]John!C12)</f>
        <v/>
      </c>
      <c r="D12" s="37" t="str">
        <f>IF([6]John!D12=0,"",[6]John!D12)</f>
        <v/>
      </c>
      <c r="E12" s="37" t="str">
        <f>IF([6]John!E12=0,"",[6]John!E12)</f>
        <v/>
      </c>
      <c r="F12" s="38" t="str">
        <f>IF([6]John!F12=0,"",[6]John!F12)</f>
        <v/>
      </c>
      <c r="G12" t="str">
        <f t="shared" si="0"/>
        <v/>
      </c>
    </row>
    <row r="13" spans="1:7" x14ac:dyDescent="0.2">
      <c r="A13" s="2" t="s">
        <v>18</v>
      </c>
      <c r="B13" s="39" t="str">
        <f>IF([6]John!B13=0,"",[6]John!B13)</f>
        <v/>
      </c>
      <c r="C13" s="39" t="str">
        <f>IF([6]John!C13=0,"",[6]John!C13)</f>
        <v/>
      </c>
      <c r="D13" s="39" t="str">
        <f>IF([6]John!D13=0,"",[6]John!D13)</f>
        <v/>
      </c>
      <c r="E13" s="39" t="str">
        <f>IF([6]John!E13=0,"",[6]John!E13)</f>
        <v/>
      </c>
      <c r="F13" s="40" t="str">
        <f>IF([6]John!F13=0,"",[6]John!F13)</f>
        <v/>
      </c>
      <c r="G13" t="str">
        <f t="shared" si="0"/>
        <v/>
      </c>
    </row>
    <row r="14" spans="1:7" x14ac:dyDescent="0.2">
      <c r="A14" s="2" t="s">
        <v>19</v>
      </c>
      <c r="B14" s="37" t="str">
        <f>IF([6]John!B14=0,"",[6]John!B14)</f>
        <v/>
      </c>
      <c r="C14" s="37" t="str">
        <f>IF([6]John!C14=0,"",[6]John!C14)</f>
        <v/>
      </c>
      <c r="D14" s="37" t="str">
        <f>IF([6]John!D14=0,"",[6]John!D14)</f>
        <v/>
      </c>
      <c r="E14" s="37" t="str">
        <f>IF([6]John!E14=0,"",[6]John!E14)</f>
        <v/>
      </c>
      <c r="F14" s="38" t="str">
        <f>IF([6]John!F14=0,"",[6]John!F14)</f>
        <v/>
      </c>
      <c r="G14" t="str">
        <f t="shared" si="0"/>
        <v/>
      </c>
    </row>
    <row r="15" spans="1:7" x14ac:dyDescent="0.2">
      <c r="A15" s="2" t="s">
        <v>20</v>
      </c>
      <c r="B15" s="39" t="str">
        <f>IF([6]John!B15=0,"",[6]John!B15)</f>
        <v/>
      </c>
      <c r="C15" s="39" t="str">
        <f>IF([6]John!C15=0,"",[6]John!C15)</f>
        <v/>
      </c>
      <c r="D15" s="39" t="str">
        <f>IF([6]John!D15=0,"",[6]John!D15)</f>
        <v/>
      </c>
      <c r="E15" s="39" t="str">
        <f>IF([6]John!E15=0,"",[6]John!E15)</f>
        <v/>
      </c>
      <c r="F15" s="40" t="str">
        <f>IF([6]John!F15=0,"",[6]John!F15)</f>
        <v/>
      </c>
      <c r="G15" t="str">
        <f t="shared" si="0"/>
        <v/>
      </c>
    </row>
    <row r="16" spans="1:7" x14ac:dyDescent="0.2">
      <c r="A16" s="2" t="s">
        <v>11</v>
      </c>
      <c r="B16" s="37" t="str">
        <f>IF([6]John!B16=0,"",[6]John!B16)</f>
        <v/>
      </c>
      <c r="C16" s="37" t="str">
        <f>IF([6]John!C16=0,"",[6]John!C16)</f>
        <v/>
      </c>
      <c r="D16" s="37" t="str">
        <f>IF([6]John!D16=0,"",[6]John!D16)</f>
        <v/>
      </c>
      <c r="E16" s="37" t="str">
        <f>IF([6]John!E16=0,"",[6]John!E16)</f>
        <v/>
      </c>
      <c r="F16" s="38" t="str">
        <f>IF([6]John!F16=0,"",[6]John!F16)</f>
        <v/>
      </c>
      <c r="G16" t="str">
        <f t="shared" si="0"/>
        <v/>
      </c>
    </row>
    <row r="17" spans="1:78" x14ac:dyDescent="0.2">
      <c r="A17" s="2" t="s">
        <v>21</v>
      </c>
      <c r="B17" s="39" t="str">
        <f>IF([6]John!B17=0,"",[6]John!B17)</f>
        <v/>
      </c>
      <c r="C17" s="39" t="str">
        <f>IF([6]John!C17=0,"",[6]John!C17)</f>
        <v/>
      </c>
      <c r="D17" s="39" t="str">
        <f>IF([6]John!D17=0,"",[6]John!D17)</f>
        <v/>
      </c>
      <c r="E17" s="39" t="str">
        <f>IF([6]John!E17=0,"",[6]John!E17)</f>
        <v/>
      </c>
      <c r="F17" s="40" t="str">
        <f>IF([6]John!F17=0,"",[6]John!F17)</f>
        <v/>
      </c>
      <c r="G17" t="str">
        <f t="shared" si="0"/>
        <v/>
      </c>
    </row>
    <row r="18" spans="1:78" x14ac:dyDescent="0.2">
      <c r="A18" s="2" t="s">
        <v>22</v>
      </c>
      <c r="B18" s="37" t="str">
        <f>IF([6]John!B18=0,"",[6]John!B18)</f>
        <v/>
      </c>
      <c r="C18" s="37" t="str">
        <f>IF([6]John!C18=0,"",[6]John!C18)</f>
        <v/>
      </c>
      <c r="D18" s="37" t="str">
        <f>IF([6]John!D18=0,"",[6]John!D18)</f>
        <v/>
      </c>
      <c r="E18" s="37" t="str">
        <f>IF([6]John!E18=0,"",[6]John!E18)</f>
        <v/>
      </c>
      <c r="F18" s="38" t="str">
        <f>IF([6]John!F18=0,"",[6]John!F18)</f>
        <v/>
      </c>
      <c r="G18" t="str">
        <f t="shared" si="0"/>
        <v/>
      </c>
    </row>
    <row r="19" spans="1:78" s="1" customFormat="1" ht="16" thickBot="1" x14ac:dyDescent="0.25">
      <c r="A19" s="2" t="s">
        <v>23</v>
      </c>
      <c r="B19" s="41" t="str">
        <f>IF([6]John!B19=0,"",[6]John!B19)</f>
        <v/>
      </c>
      <c r="C19" s="41" t="str">
        <f>IF([6]John!C19=0,"",[6]John!C19)</f>
        <v/>
      </c>
      <c r="D19" s="41" t="str">
        <f>IF([6]John!D19=0,"",[6]John!D19)</f>
        <v/>
      </c>
      <c r="E19" s="41" t="str">
        <f>IF([6]John!E19=0,"",[6]John!E19)</f>
        <v/>
      </c>
      <c r="F19" s="42" t="str">
        <f>IF([6]John!F19=0,"",[6]John!F19)</f>
        <v/>
      </c>
      <c r="G19" t="str">
        <f t="shared" si="0"/>
        <v/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</row>
    <row r="20" spans="1:78" s="1" customFormat="1" ht="16" thickBot="1" x14ac:dyDescent="0.25">
      <c r="A20" s="27" t="s">
        <v>9</v>
      </c>
      <c r="B20" s="28" t="str">
        <f t="shared" ref="B20:F20" si="1">IF(SUM(B7:B19)=0,"",SUM(B7:B19))</f>
        <v/>
      </c>
      <c r="C20" s="28" t="str">
        <f t="shared" si="1"/>
        <v/>
      </c>
      <c r="D20" s="28" t="str">
        <f t="shared" si="1"/>
        <v/>
      </c>
      <c r="E20" s="28" t="str">
        <f t="shared" si="1"/>
        <v/>
      </c>
      <c r="F20" s="29" t="str">
        <f t="shared" si="1"/>
        <v/>
      </c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</row>
    <row r="21" spans="1:78" s="1" customFormat="1" x14ac:dyDescent="0.2">
      <c r="A21" s="30"/>
      <c r="B21" s="31" t="s">
        <v>2</v>
      </c>
      <c r="C21" s="31" t="s">
        <v>24</v>
      </c>
      <c r="D21" s="31" t="s">
        <v>25</v>
      </c>
      <c r="E21" s="31" t="s">
        <v>26</v>
      </c>
      <c r="F21" s="32" t="s">
        <v>10</v>
      </c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</row>
    <row r="22" spans="1:78" s="1" customFormat="1" ht="14.75" customHeight="1" x14ac:dyDescent="0.2">
      <c r="A22" s="33" t="s">
        <v>28</v>
      </c>
      <c r="B22" s="43" t="str">
        <f>IF([6]John!B22=0,"",[6]John!B22)</f>
        <v/>
      </c>
      <c r="C22" s="43" t="str">
        <f>IF([6]John!C22=0,"",[6]John!C22)</f>
        <v/>
      </c>
      <c r="D22" s="43" t="str">
        <f>IF([6]John!D22=0,"",[6]John!D22)</f>
        <v/>
      </c>
      <c r="E22" s="43" t="str">
        <f>IF([6]John!E22=0,"",[6]John!E22)</f>
        <v/>
      </c>
      <c r="F22" s="44" t="str">
        <f>IF([6]John!F22=0,"",[6]John!F22)</f>
        <v/>
      </c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</row>
    <row r="23" spans="1:78" s="1" customFormat="1" ht="14.5" customHeight="1" thickBot="1" x14ac:dyDescent="0.25">
      <c r="A23" s="33" t="s">
        <v>29</v>
      </c>
      <c r="B23" s="43" t="str">
        <f>IF([6]John!B23=0,"",[6]John!B23)</f>
        <v/>
      </c>
      <c r="C23" s="43" t="str">
        <f>IF([6]John!C23=0,"",[6]John!C23)</f>
        <v/>
      </c>
      <c r="D23" s="43" t="str">
        <f>IF([6]John!D23=0,"",[6]John!D23)</f>
        <v/>
      </c>
      <c r="E23" s="43" t="str">
        <f>IF([6]John!E23=0,"",[6]John!E23)</f>
        <v/>
      </c>
      <c r="F23" s="44" t="str">
        <f>IF([6]John!F23=0,"",[6]John!F23)</f>
        <v/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78" s="1" customFormat="1" ht="15" customHeight="1" x14ac:dyDescent="0.2">
      <c r="A24" s="72" t="s">
        <v>8</v>
      </c>
      <c r="B24" s="73"/>
      <c r="C24" s="73"/>
      <c r="D24" s="73"/>
      <c r="E24" s="73"/>
      <c r="F24" s="7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78" s="1" customFormat="1" ht="15.75" customHeight="1" thickBot="1" x14ac:dyDescent="0.25">
      <c r="A25" s="75"/>
      <c r="B25" s="76"/>
      <c r="C25" s="76"/>
      <c r="D25" s="76"/>
      <c r="E25" s="76"/>
      <c r="F25" s="77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78" s="1" customFormat="1" ht="30" customHeight="1" x14ac:dyDescent="0.2">
      <c r="A26" s="78" t="s">
        <v>7</v>
      </c>
      <c r="B26" s="79" t="str">
        <f>IF([6]John!B26=0,"",[6]John!B26)</f>
        <v/>
      </c>
      <c r="C26" s="79"/>
      <c r="D26" s="79"/>
      <c r="E26" s="79"/>
      <c r="F26" s="80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78" s="1" customFormat="1" ht="30" customHeight="1" x14ac:dyDescent="0.2">
      <c r="A27" s="66"/>
      <c r="B27" s="67"/>
      <c r="C27" s="67"/>
      <c r="D27" s="67"/>
      <c r="E27" s="67"/>
      <c r="F27" s="68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78" s="1" customFormat="1" ht="30" customHeight="1" x14ac:dyDescent="0.2">
      <c r="A28" s="66" t="s">
        <v>6</v>
      </c>
      <c r="B28" s="67" t="str">
        <f>IF([6]John!B28=0,"",[6]John!B28)</f>
        <v/>
      </c>
      <c r="C28" s="67"/>
      <c r="D28" s="67"/>
      <c r="E28" s="67"/>
      <c r="F28" s="6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78" s="1" customFormat="1" ht="30" customHeight="1" x14ac:dyDescent="0.2">
      <c r="A29" s="66"/>
      <c r="B29" s="67"/>
      <c r="C29" s="67"/>
      <c r="D29" s="67"/>
      <c r="E29" s="67"/>
      <c r="F29" s="68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78" s="1" customFormat="1" ht="30" customHeight="1" x14ac:dyDescent="0.2">
      <c r="A30" s="66" t="s">
        <v>3</v>
      </c>
      <c r="B30" s="67" t="str">
        <f>IF([6]John!B30=0,"",[6]John!B30)</f>
        <v/>
      </c>
      <c r="C30" s="67"/>
      <c r="D30" s="67"/>
      <c r="E30" s="67"/>
      <c r="F30" s="68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78" s="1" customFormat="1" ht="30" customHeight="1" x14ac:dyDescent="0.2">
      <c r="A31" s="66"/>
      <c r="B31" s="67"/>
      <c r="C31" s="67"/>
      <c r="D31" s="67"/>
      <c r="E31" s="67"/>
      <c r="F31" s="68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78" s="1" customFormat="1" ht="30" customHeight="1" x14ac:dyDescent="0.2">
      <c r="A32" s="66" t="s">
        <v>4</v>
      </c>
      <c r="B32" s="67" t="str">
        <f>IF([6]John!B32=0,"",[6]John!B32)</f>
        <v/>
      </c>
      <c r="C32" s="67"/>
      <c r="D32" s="67"/>
      <c r="E32" s="67"/>
      <c r="F32" s="68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70" s="1" customFormat="1" ht="30" customHeight="1" x14ac:dyDescent="0.2">
      <c r="A33" s="66"/>
      <c r="B33" s="67"/>
      <c r="C33" s="67"/>
      <c r="D33" s="67"/>
      <c r="E33" s="67"/>
      <c r="F33" s="68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70" s="1" customFormat="1" ht="30" customHeight="1" x14ac:dyDescent="0.2">
      <c r="A34" s="66" t="s">
        <v>5</v>
      </c>
      <c r="B34" s="67" t="str">
        <f>IF([6]John!B34=0,"",[6]John!B34)</f>
        <v/>
      </c>
      <c r="C34" s="67"/>
      <c r="D34" s="67"/>
      <c r="E34" s="67"/>
      <c r="F34" s="68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70" s="1" customFormat="1" ht="30" customHeight="1" thickBot="1" x14ac:dyDescent="0.25">
      <c r="A35" s="69"/>
      <c r="B35" s="70"/>
      <c r="C35" s="70"/>
      <c r="D35" s="70"/>
      <c r="E35" s="70"/>
      <c r="F35" s="71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70" s="1" customFormat="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70" s="1" customForma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70" s="1" customFormat="1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</row>
    <row r="39" spans="1:70" s="1" customFormat="1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</row>
    <row r="40" spans="1:70" s="1" customFormat="1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</row>
    <row r="41" spans="1:70" s="1" customFormat="1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</row>
    <row r="42" spans="1:70" s="1" customFormat="1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</row>
    <row r="43" spans="1:70" s="1" customFormat="1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</row>
    <row r="44" spans="1:70" s="1" customFormat="1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</row>
    <row r="45" spans="1:70" s="1" customFormat="1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</row>
    <row r="46" spans="1:70" s="1" customFormat="1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</row>
    <row r="47" spans="1:70" s="1" customFormat="1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</row>
    <row r="48" spans="1:70" s="1" customFormat="1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</row>
    <row r="49" spans="1:78" s="1" customFormat="1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</row>
    <row r="50" spans="1:78" s="1" customFormat="1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</row>
    <row r="51" spans="1:78" s="1" customFormat="1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</row>
    <row r="52" spans="1:78" s="1" customFormat="1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</row>
    <row r="53" spans="1:78" s="1" customFormat="1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</row>
    <row r="54" spans="1:78" s="1" customFormat="1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</row>
    <row r="55" spans="1:78" s="1" customFormat="1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</row>
    <row r="56" spans="1:78" s="1" customFormat="1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</row>
    <row r="57" spans="1:78" s="1" customFormat="1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</row>
    <row r="58" spans="1:78" s="1" customFormat="1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</row>
    <row r="59" spans="1:78" s="1" customFormat="1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</row>
    <row r="60" spans="1:78" s="1" customFormat="1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</row>
    <row r="61" spans="1:78" s="1" customFormat="1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</row>
    <row r="62" spans="1:78" s="1" customFormat="1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</row>
    <row r="63" spans="1:78" s="1" customFormat="1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</row>
    <row r="64" spans="1:78" s="1" customFormat="1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</row>
    <row r="65" spans="1:78" s="1" customFormat="1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</row>
    <row r="66" spans="1:78" s="1" customFormat="1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</row>
  </sheetData>
  <sheetProtection algorithmName="SHA-512" hashValue="IkoU0Cybg6ZX6BGoq7bq86k1GXn9Eoz6C+f0wmZ1wvp3sRlVp8524CNe4oUa9cGnCitciHWcazzFYJn5xucf+Q==" saltValue="Gmccic51KDdZD8ZJDoHp4w==" spinCount="100000" sheet="1" objects="1" scenarios="1"/>
  <dataConsolidate>
    <dataRefs count="4">
      <dataRef ref="C11:H28" sheet="Bashar" r:id="rId1"/>
      <dataRef ref="C11:H28" sheet="Darius" r:id="rId2"/>
      <dataRef ref="C11:H28" sheet="George" r:id="rId3"/>
      <dataRef ref="C11:H28" sheet="Rich" r:id="rId4"/>
    </dataRefs>
  </dataConsolidate>
  <mergeCells count="13">
    <mergeCell ref="A28:A29"/>
    <mergeCell ref="B28:F29"/>
    <mergeCell ref="A1:F3"/>
    <mergeCell ref="A4:F5"/>
    <mergeCell ref="A24:F25"/>
    <mergeCell ref="A26:A27"/>
    <mergeCell ref="B26:F27"/>
    <mergeCell ref="A30:A31"/>
    <mergeCell ref="B30:F31"/>
    <mergeCell ref="A32:A33"/>
    <mergeCell ref="B32:F33"/>
    <mergeCell ref="A34:A35"/>
    <mergeCell ref="B34:F35"/>
  </mergeCells>
  <pageMargins left="0.7" right="0.7" top="0.75" bottom="0.75" header="0.3" footer="0.3"/>
  <pageSetup scale="10" orientation="portrait" horizontalDpi="203" verticalDpi="203"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32623-54CF-46A6-8EAF-37376EE5F244}">
  <sheetPr codeName="Sheet1">
    <tabColor theme="9" tint="0.39997558519241921"/>
    <pageSetUpPr fitToPage="1"/>
  </sheetPr>
  <dimension ref="A1:BZ66"/>
  <sheetViews>
    <sheetView zoomScaleNormal="100" workbookViewId="0">
      <selection activeCell="I29" sqref="I29"/>
    </sheetView>
  </sheetViews>
  <sheetFormatPr baseColWidth="10" defaultColWidth="8.83203125" defaultRowHeight="15" x14ac:dyDescent="0.2"/>
  <cols>
    <col min="1" max="1" width="25.6640625" bestFit="1" customWidth="1"/>
    <col min="2" max="3" width="8.33203125" bestFit="1" customWidth="1"/>
    <col min="4" max="4" width="11.5" bestFit="1" customWidth="1"/>
    <col min="5" max="5" width="9" bestFit="1" customWidth="1"/>
    <col min="6" max="6" width="6.5" bestFit="1" customWidth="1"/>
    <col min="7" max="7" width="0" hidden="1" customWidth="1"/>
  </cols>
  <sheetData>
    <row r="1" spans="1:7" ht="14.75" customHeight="1" x14ac:dyDescent="0.2">
      <c r="A1" s="51" t="s">
        <v>0</v>
      </c>
      <c r="B1" s="52"/>
      <c r="C1" s="52"/>
      <c r="D1" s="52"/>
      <c r="E1" s="52"/>
      <c r="F1" s="53"/>
    </row>
    <row r="2" spans="1:7" ht="14.75" customHeight="1" x14ac:dyDescent="0.2">
      <c r="A2" s="54"/>
      <c r="B2" s="55"/>
      <c r="C2" s="55"/>
      <c r="D2" s="55"/>
      <c r="E2" s="55"/>
      <c r="F2" s="56"/>
    </row>
    <row r="3" spans="1:7" ht="14.75" customHeight="1" thickBot="1" x14ac:dyDescent="0.25">
      <c r="A3" s="57"/>
      <c r="B3" s="58"/>
      <c r="C3" s="58"/>
      <c r="D3" s="58"/>
      <c r="E3" s="58"/>
      <c r="F3" s="59"/>
    </row>
    <row r="4" spans="1:7" ht="14.75" customHeight="1" x14ac:dyDescent="0.2">
      <c r="A4" s="60" t="s">
        <v>27</v>
      </c>
      <c r="B4" s="61"/>
      <c r="C4" s="61"/>
      <c r="D4" s="61"/>
      <c r="E4" s="61"/>
      <c r="F4" s="62"/>
    </row>
    <row r="5" spans="1:7" ht="14.75" customHeight="1" thickBot="1" x14ac:dyDescent="0.25">
      <c r="A5" s="63"/>
      <c r="B5" s="64"/>
      <c r="C5" s="64"/>
      <c r="D5" s="64"/>
      <c r="E5" s="64"/>
      <c r="F5" s="65"/>
    </row>
    <row r="6" spans="1:7" ht="16" thickBot="1" x14ac:dyDescent="0.25">
      <c r="A6" s="3" t="s">
        <v>1</v>
      </c>
      <c r="B6" s="25" t="s">
        <v>2</v>
      </c>
      <c r="C6" s="23" t="s">
        <v>24</v>
      </c>
      <c r="D6" s="23" t="s">
        <v>25</v>
      </c>
      <c r="E6" s="23" t="s">
        <v>26</v>
      </c>
      <c r="F6" s="26" t="s">
        <v>10</v>
      </c>
    </row>
    <row r="7" spans="1:7" x14ac:dyDescent="0.2">
      <c r="A7" s="2" t="s">
        <v>12</v>
      </c>
      <c r="B7" s="35" t="str">
        <f>IF([7]Michael!B7=0,"",[7]Michael!B7)</f>
        <v/>
      </c>
      <c r="C7" s="35" t="str">
        <f>IF([7]Michael!C7=0,"",[7]Michael!C7)</f>
        <v/>
      </c>
      <c r="D7" s="35" t="str">
        <f>IF([7]Michael!D7=0,"",[7]Michael!D7)</f>
        <v/>
      </c>
      <c r="E7" s="35" t="str">
        <f>IF([7]Michael!E7=0,"",[7]Michael!E7)</f>
        <v/>
      </c>
      <c r="F7" s="36" t="str">
        <f>IF([7]Michael!F7=0,"",[7]Michael!F7)</f>
        <v/>
      </c>
      <c r="G7" t="str">
        <f>IF(SUM(B7,C7,D7,E7,F7)=0,"",SUM(B7,C7,D7,E7,F7))</f>
        <v/>
      </c>
    </row>
    <row r="8" spans="1:7" x14ac:dyDescent="0.2">
      <c r="A8" s="2" t="s">
        <v>13</v>
      </c>
      <c r="B8" s="37" t="str">
        <f>IF([7]Michael!B8=0,"",[7]Michael!B8)</f>
        <v/>
      </c>
      <c r="C8" s="37" t="str">
        <f>IF([7]Michael!C8=0,"",[7]Michael!C8)</f>
        <v/>
      </c>
      <c r="D8" s="37" t="str">
        <f>IF([7]Michael!D8=0,"",[7]Michael!D8)</f>
        <v/>
      </c>
      <c r="E8" s="37" t="str">
        <f>IF([7]Michael!E8=0,"",[7]Michael!E8)</f>
        <v/>
      </c>
      <c r="F8" s="38" t="str">
        <f>IF([7]Michael!F8=0,"",[7]Michael!F8)</f>
        <v/>
      </c>
      <c r="G8" t="str">
        <f t="shared" ref="G8:G19" si="0">IF(SUM(B8,C8,D8,E8,F8)=0,"",SUM(B8,C8,D8,E8,F8))</f>
        <v/>
      </c>
    </row>
    <row r="9" spans="1:7" x14ac:dyDescent="0.2">
      <c r="A9" s="2" t="s">
        <v>14</v>
      </c>
      <c r="B9" s="39" t="str">
        <f>IF([7]Michael!B9=0,"",[7]Michael!B9)</f>
        <v/>
      </c>
      <c r="C9" s="39" t="str">
        <f>IF([7]Michael!C9=0,"",[7]Michael!C9)</f>
        <v/>
      </c>
      <c r="D9" s="39" t="str">
        <f>IF([7]Michael!D9=0,"",[7]Michael!D9)</f>
        <v/>
      </c>
      <c r="E9" s="39" t="str">
        <f>IF([7]Michael!E9=0,"",[7]Michael!E9)</f>
        <v/>
      </c>
      <c r="F9" s="40" t="str">
        <f>IF([7]Michael!F9=0,"",[7]Michael!F9)</f>
        <v/>
      </c>
      <c r="G9" t="str">
        <f t="shared" si="0"/>
        <v/>
      </c>
    </row>
    <row r="10" spans="1:7" x14ac:dyDescent="0.2">
      <c r="A10" s="2" t="s">
        <v>15</v>
      </c>
      <c r="B10" s="37" t="str">
        <f>IF([7]Michael!B10=0,"",[7]Michael!B10)</f>
        <v/>
      </c>
      <c r="C10" s="37" t="str">
        <f>IF([7]Michael!C10=0,"",[7]Michael!C10)</f>
        <v/>
      </c>
      <c r="D10" s="37" t="str">
        <f>IF([7]Michael!D10=0,"",[7]Michael!D10)</f>
        <v/>
      </c>
      <c r="E10" s="37" t="str">
        <f>IF([7]Michael!E10=0,"",[7]Michael!E10)</f>
        <v/>
      </c>
      <c r="F10" s="38" t="str">
        <f>IF([7]Michael!F10=0,"",[7]Michael!F10)</f>
        <v/>
      </c>
      <c r="G10" t="str">
        <f t="shared" si="0"/>
        <v/>
      </c>
    </row>
    <row r="11" spans="1:7" x14ac:dyDescent="0.2">
      <c r="A11" s="2" t="s">
        <v>16</v>
      </c>
      <c r="B11" s="39" t="str">
        <f>IF([7]Michael!B11=0,"",[7]Michael!B11)</f>
        <v/>
      </c>
      <c r="C11" s="39" t="str">
        <f>IF([7]Michael!C11=0,"",[7]Michael!C11)</f>
        <v/>
      </c>
      <c r="D11" s="39" t="str">
        <f>IF([7]Michael!D11=0,"",[7]Michael!D11)</f>
        <v/>
      </c>
      <c r="E11" s="39" t="str">
        <f>IF([7]Michael!E11=0,"",[7]Michael!E11)</f>
        <v/>
      </c>
      <c r="F11" s="40" t="str">
        <f>IF([7]Michael!F11=0,"",[7]Michael!F11)</f>
        <v/>
      </c>
      <c r="G11" t="str">
        <f t="shared" si="0"/>
        <v/>
      </c>
    </row>
    <row r="12" spans="1:7" x14ac:dyDescent="0.2">
      <c r="A12" s="2" t="s">
        <v>17</v>
      </c>
      <c r="B12" s="37" t="str">
        <f>IF([7]Michael!B12=0,"",[7]Michael!B12)</f>
        <v/>
      </c>
      <c r="C12" s="37" t="str">
        <f>IF([7]Michael!C12=0,"",[7]Michael!C12)</f>
        <v/>
      </c>
      <c r="D12" s="37" t="str">
        <f>IF([7]Michael!D12=0,"",[7]Michael!D12)</f>
        <v/>
      </c>
      <c r="E12" s="37" t="str">
        <f>IF([7]Michael!E12=0,"",[7]Michael!E12)</f>
        <v/>
      </c>
      <c r="F12" s="38" t="str">
        <f>IF([7]Michael!F12=0,"",[7]Michael!F12)</f>
        <v/>
      </c>
      <c r="G12" t="str">
        <f t="shared" si="0"/>
        <v/>
      </c>
    </row>
    <row r="13" spans="1:7" x14ac:dyDescent="0.2">
      <c r="A13" s="2" t="s">
        <v>18</v>
      </c>
      <c r="B13" s="39" t="str">
        <f>IF([7]Michael!B13=0,"",[7]Michael!B13)</f>
        <v/>
      </c>
      <c r="C13" s="39" t="str">
        <f>IF([7]Michael!C13=0,"",[7]Michael!C13)</f>
        <v/>
      </c>
      <c r="D13" s="39" t="str">
        <f>IF([7]Michael!D13=0,"",[7]Michael!D13)</f>
        <v/>
      </c>
      <c r="E13" s="39" t="str">
        <f>IF([7]Michael!E13=0,"",[7]Michael!E13)</f>
        <v/>
      </c>
      <c r="F13" s="40" t="str">
        <f>IF([7]Michael!F13=0,"",[7]Michael!F13)</f>
        <v/>
      </c>
      <c r="G13" t="str">
        <f t="shared" si="0"/>
        <v/>
      </c>
    </row>
    <row r="14" spans="1:7" x14ac:dyDescent="0.2">
      <c r="A14" s="2" t="s">
        <v>19</v>
      </c>
      <c r="B14" s="37">
        <f>IF([7]Michael!B14=0,"",[7]Michael!B14)</f>
        <v>10</v>
      </c>
      <c r="C14" s="37" t="str">
        <f>IF([7]Michael!C14=0,"",[7]Michael!C14)</f>
        <v/>
      </c>
      <c r="D14" s="37" t="str">
        <f>IF([7]Michael!D14=0,"",[7]Michael!D14)</f>
        <v/>
      </c>
      <c r="E14" s="37" t="str">
        <f>IF([7]Michael!E14=0,"",[7]Michael!E14)</f>
        <v/>
      </c>
      <c r="F14" s="38" t="str">
        <f>IF([7]Michael!F14=0,"",[7]Michael!F14)</f>
        <v/>
      </c>
      <c r="G14">
        <f t="shared" si="0"/>
        <v>10</v>
      </c>
    </row>
    <row r="15" spans="1:7" x14ac:dyDescent="0.2">
      <c r="A15" s="2" t="s">
        <v>20</v>
      </c>
      <c r="B15" s="39">
        <f>IF([7]Michael!B15=0,"",[7]Michael!B15)</f>
        <v>42</v>
      </c>
      <c r="C15" s="39">
        <f>IF([7]Michael!C15=0,"",[7]Michael!C15)</f>
        <v>104</v>
      </c>
      <c r="D15" s="39">
        <f>IF([7]Michael!D15=0,"",[7]Michael!D15)</f>
        <v>75</v>
      </c>
      <c r="E15" s="39" t="str">
        <f>IF([7]Michael!E15=0,"",[7]Michael!E15)</f>
        <v/>
      </c>
      <c r="F15" s="40" t="str">
        <f>IF([7]Michael!F15=0,"",[7]Michael!F15)</f>
        <v/>
      </c>
      <c r="G15">
        <f t="shared" si="0"/>
        <v>221</v>
      </c>
    </row>
    <row r="16" spans="1:7" x14ac:dyDescent="0.2">
      <c r="A16" s="2" t="s">
        <v>11</v>
      </c>
      <c r="B16" s="37" t="str">
        <f>IF([7]Michael!B16=0,"",[7]Michael!B16)</f>
        <v/>
      </c>
      <c r="C16" s="37" t="str">
        <f>IF([7]Michael!C16=0,"",[7]Michael!C16)</f>
        <v/>
      </c>
      <c r="D16" s="37" t="str">
        <f>IF([7]Michael!D16=0,"",[7]Michael!D16)</f>
        <v/>
      </c>
      <c r="E16" s="37" t="str">
        <f>IF([7]Michael!E16=0,"",[7]Michael!E16)</f>
        <v/>
      </c>
      <c r="F16" s="38" t="str">
        <f>IF([7]Michael!F16=0,"",[7]Michael!F16)</f>
        <v/>
      </c>
      <c r="G16" t="str">
        <f t="shared" si="0"/>
        <v/>
      </c>
    </row>
    <row r="17" spans="1:78" x14ac:dyDescent="0.2">
      <c r="A17" s="2" t="s">
        <v>21</v>
      </c>
      <c r="B17" s="39" t="str">
        <f>IF([7]Michael!B17=0,"",[7]Michael!B17)</f>
        <v/>
      </c>
      <c r="C17" s="39" t="str">
        <f>IF([7]Michael!C17=0,"",[7]Michael!C17)</f>
        <v/>
      </c>
      <c r="D17" s="39" t="str">
        <f>IF([7]Michael!D17=0,"",[7]Michael!D17)</f>
        <v/>
      </c>
      <c r="E17" s="39" t="str">
        <f>IF([7]Michael!E17=0,"",[7]Michael!E17)</f>
        <v/>
      </c>
      <c r="F17" s="40" t="str">
        <f>IF([7]Michael!F17=0,"",[7]Michael!F17)</f>
        <v/>
      </c>
      <c r="G17" t="str">
        <f t="shared" si="0"/>
        <v/>
      </c>
    </row>
    <row r="18" spans="1:78" x14ac:dyDescent="0.2">
      <c r="A18" s="2" t="s">
        <v>22</v>
      </c>
      <c r="B18" s="37" t="str">
        <f>IF([7]Michael!B18=0,"",[7]Michael!B18)</f>
        <v/>
      </c>
      <c r="C18" s="37" t="str">
        <f>IF([7]Michael!C18=0,"",[7]Michael!C18)</f>
        <v/>
      </c>
      <c r="D18" s="37" t="str">
        <f>IF([7]Michael!D18=0,"",[7]Michael!D18)</f>
        <v/>
      </c>
      <c r="E18" s="37" t="str">
        <f>IF([7]Michael!E18=0,"",[7]Michael!E18)</f>
        <v/>
      </c>
      <c r="F18" s="38" t="str">
        <f>IF([7]Michael!F18=0,"",[7]Michael!F18)</f>
        <v/>
      </c>
      <c r="G18" t="str">
        <f t="shared" si="0"/>
        <v/>
      </c>
    </row>
    <row r="19" spans="1:78" s="1" customFormat="1" ht="16" thickBot="1" x14ac:dyDescent="0.25">
      <c r="A19" s="2" t="s">
        <v>23</v>
      </c>
      <c r="B19" s="41" t="str">
        <f>IF([7]Michael!B19=0,"",[7]Michael!B19)</f>
        <v/>
      </c>
      <c r="C19" s="41" t="str">
        <f>IF([7]Michael!C19=0,"",[7]Michael!C19)</f>
        <v/>
      </c>
      <c r="D19" s="41" t="str">
        <f>IF([7]Michael!D19=0,"",[7]Michael!D19)</f>
        <v/>
      </c>
      <c r="E19" s="41" t="str">
        <f>IF([7]Michael!E19=0,"",[7]Michael!E19)</f>
        <v/>
      </c>
      <c r="F19" s="42" t="str">
        <f>IF([7]Michael!F19=0,"",[7]Michael!F19)</f>
        <v/>
      </c>
      <c r="G19" t="str">
        <f t="shared" si="0"/>
        <v/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</row>
    <row r="20" spans="1:78" s="1" customFormat="1" ht="16" thickBot="1" x14ac:dyDescent="0.25">
      <c r="A20" s="27" t="s">
        <v>9</v>
      </c>
      <c r="B20" s="28">
        <f t="shared" ref="B20:F20" si="1">IF(SUM(B7:B19)=0,"",SUM(B7:B19))</f>
        <v>52</v>
      </c>
      <c r="C20" s="28">
        <f t="shared" si="1"/>
        <v>104</v>
      </c>
      <c r="D20" s="28">
        <f t="shared" si="1"/>
        <v>75</v>
      </c>
      <c r="E20" s="28" t="str">
        <f t="shared" si="1"/>
        <v/>
      </c>
      <c r="F20" s="29" t="str">
        <f t="shared" si="1"/>
        <v/>
      </c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</row>
    <row r="21" spans="1:78" s="1" customFormat="1" x14ac:dyDescent="0.2">
      <c r="A21" s="30"/>
      <c r="B21" s="31" t="s">
        <v>2</v>
      </c>
      <c r="C21" s="31" t="s">
        <v>24</v>
      </c>
      <c r="D21" s="31" t="s">
        <v>25</v>
      </c>
      <c r="E21" s="31" t="s">
        <v>26</v>
      </c>
      <c r="F21" s="32" t="s">
        <v>10</v>
      </c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</row>
    <row r="22" spans="1:78" s="1" customFormat="1" ht="14.75" customHeight="1" x14ac:dyDescent="0.2">
      <c r="A22" s="33" t="s">
        <v>28</v>
      </c>
      <c r="B22" s="43">
        <f>IF([7]Michael!B22=0,"",[7]Michael!B22)</f>
        <v>5</v>
      </c>
      <c r="C22" s="43">
        <f>IF([7]Michael!C22=0,"",[7]Michael!C22)</f>
        <v>6</v>
      </c>
      <c r="D22" s="43">
        <f>IF([7]Michael!D22=0,"",[7]Michael!D22)</f>
        <v>5.5</v>
      </c>
      <c r="E22" s="43" t="str">
        <f>IF([7]Michael!E22=0,"",[7]Michael!E22)</f>
        <v/>
      </c>
      <c r="F22" s="44" t="str">
        <f>IF([7]Michael!F22=0,"",[7]Michael!F22)</f>
        <v/>
      </c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</row>
    <row r="23" spans="1:78" s="1" customFormat="1" ht="14.5" customHeight="1" thickBot="1" x14ac:dyDescent="0.25">
      <c r="A23" s="33" t="s">
        <v>29</v>
      </c>
      <c r="B23" s="43" t="str">
        <f>IF([7]Michael!B23=0,"",[7]Michael!B23)</f>
        <v/>
      </c>
      <c r="C23" s="43" t="str">
        <f>IF([7]Michael!C23=0,"",[7]Michael!C23)</f>
        <v/>
      </c>
      <c r="D23" s="43" t="str">
        <f>IF([7]Michael!D23=0,"",[7]Michael!D23)</f>
        <v/>
      </c>
      <c r="E23" s="43" t="str">
        <f>IF([7]Michael!E23=0,"",[7]Michael!E23)</f>
        <v/>
      </c>
      <c r="F23" s="44" t="str">
        <f>IF([7]Michael!F23=0,"",[7]Michael!F23)</f>
        <v/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78" s="1" customFormat="1" ht="15" customHeight="1" x14ac:dyDescent="0.2">
      <c r="A24" s="72" t="s">
        <v>8</v>
      </c>
      <c r="B24" s="73"/>
      <c r="C24" s="73"/>
      <c r="D24" s="73"/>
      <c r="E24" s="73"/>
      <c r="F24" s="7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78" s="1" customFormat="1" ht="15.75" customHeight="1" thickBot="1" x14ac:dyDescent="0.25">
      <c r="A25" s="75"/>
      <c r="B25" s="76"/>
      <c r="C25" s="76"/>
      <c r="D25" s="76"/>
      <c r="E25" s="76"/>
      <c r="F25" s="77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78" s="1" customFormat="1" ht="30" customHeight="1" x14ac:dyDescent="0.2">
      <c r="A26" s="78" t="s">
        <v>7</v>
      </c>
      <c r="B26" s="79" t="str">
        <f>IF([7]Michael!B26=0,"",[7]Michael!B26)</f>
        <v>(1 hour troubleshooting avery printers belonging to other sites, placed 11 remaining averys next on pallet to go to receive department)</v>
      </c>
      <c r="C26" s="79"/>
      <c r="D26" s="79"/>
      <c r="E26" s="79"/>
      <c r="F26" s="80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78" s="1" customFormat="1" ht="30" customHeight="1" x14ac:dyDescent="0.2">
      <c r="A27" s="66"/>
      <c r="B27" s="67"/>
      <c r="C27" s="67"/>
      <c r="D27" s="67"/>
      <c r="E27" s="67"/>
      <c r="F27" s="68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78" s="1" customFormat="1" ht="30" customHeight="1" x14ac:dyDescent="0.2">
      <c r="A28" s="66" t="s">
        <v>6</v>
      </c>
      <c r="B28" s="67" t="str">
        <f>IF([7]Michael!B28=0,"",[7]Michael!B28)</f>
        <v>(2 hours shipping 250 RTV Averys, full pallet)</v>
      </c>
      <c r="C28" s="67"/>
      <c r="D28" s="67"/>
      <c r="E28" s="67"/>
      <c r="F28" s="6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78" s="1" customFormat="1" ht="30" customHeight="1" x14ac:dyDescent="0.2">
      <c r="A29" s="66"/>
      <c r="B29" s="67"/>
      <c r="C29" s="67"/>
      <c r="D29" s="67"/>
      <c r="E29" s="67"/>
      <c r="F29" s="68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78" s="1" customFormat="1" ht="30" customHeight="1" x14ac:dyDescent="0.2">
      <c r="A30" s="66" t="s">
        <v>3</v>
      </c>
      <c r="B30" s="67" t="str">
        <f>IF([7]Michael!B30=0,"",[7]Michael!B30)</f>
        <v/>
      </c>
      <c r="C30" s="67"/>
      <c r="D30" s="67"/>
      <c r="E30" s="67"/>
      <c r="F30" s="68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78" s="1" customFormat="1" ht="30" customHeight="1" x14ac:dyDescent="0.2">
      <c r="A31" s="66"/>
      <c r="B31" s="67"/>
      <c r="C31" s="67"/>
      <c r="D31" s="67"/>
      <c r="E31" s="67"/>
      <c r="F31" s="68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78" s="1" customFormat="1" ht="30" customHeight="1" x14ac:dyDescent="0.2">
      <c r="A32" s="66" t="s">
        <v>4</v>
      </c>
      <c r="B32" s="67" t="str">
        <f>IF([7]Michael!B32=0,"",[7]Michael!B32)</f>
        <v/>
      </c>
      <c r="C32" s="67"/>
      <c r="D32" s="67"/>
      <c r="E32" s="67"/>
      <c r="F32" s="68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70" s="1" customFormat="1" ht="30" customHeight="1" x14ac:dyDescent="0.2">
      <c r="A33" s="66"/>
      <c r="B33" s="67"/>
      <c r="C33" s="67"/>
      <c r="D33" s="67"/>
      <c r="E33" s="67"/>
      <c r="F33" s="68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70" s="1" customFormat="1" ht="30" customHeight="1" x14ac:dyDescent="0.2">
      <c r="A34" s="66" t="s">
        <v>5</v>
      </c>
      <c r="B34" s="67" t="str">
        <f>IF([7]Michael!B34=0,"",[7]Michael!B34)</f>
        <v/>
      </c>
      <c r="C34" s="67"/>
      <c r="D34" s="67"/>
      <c r="E34" s="67"/>
      <c r="F34" s="68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70" s="1" customFormat="1" ht="30" customHeight="1" thickBot="1" x14ac:dyDescent="0.25">
      <c r="A35" s="69"/>
      <c r="B35" s="70"/>
      <c r="C35" s="70"/>
      <c r="D35" s="70"/>
      <c r="E35" s="70"/>
      <c r="F35" s="71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70" s="1" customFormat="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70" s="1" customForma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70" s="1" customFormat="1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</row>
    <row r="39" spans="1:70" s="1" customFormat="1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</row>
    <row r="40" spans="1:70" s="1" customFormat="1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</row>
    <row r="41" spans="1:70" s="1" customFormat="1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</row>
    <row r="42" spans="1:70" s="1" customFormat="1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</row>
    <row r="43" spans="1:70" s="1" customFormat="1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</row>
    <row r="44" spans="1:70" s="1" customFormat="1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</row>
    <row r="45" spans="1:70" s="1" customFormat="1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</row>
    <row r="46" spans="1:70" s="1" customFormat="1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</row>
    <row r="47" spans="1:70" s="1" customFormat="1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</row>
    <row r="48" spans="1:70" s="1" customFormat="1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</row>
    <row r="49" spans="1:78" s="1" customFormat="1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</row>
    <row r="50" spans="1:78" s="1" customFormat="1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</row>
    <row r="51" spans="1:78" s="1" customFormat="1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</row>
    <row r="52" spans="1:78" s="1" customFormat="1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</row>
    <row r="53" spans="1:78" s="1" customFormat="1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</row>
    <row r="54" spans="1:78" s="1" customFormat="1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</row>
    <row r="55" spans="1:78" s="1" customFormat="1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</row>
    <row r="56" spans="1:78" s="1" customFormat="1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</row>
    <row r="57" spans="1:78" s="1" customFormat="1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</row>
    <row r="58" spans="1:78" s="1" customFormat="1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</row>
    <row r="59" spans="1:78" s="1" customFormat="1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</row>
    <row r="60" spans="1:78" s="1" customFormat="1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</row>
    <row r="61" spans="1:78" s="1" customFormat="1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</row>
    <row r="62" spans="1:78" s="1" customFormat="1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</row>
    <row r="63" spans="1:78" s="1" customFormat="1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</row>
    <row r="64" spans="1:78" s="1" customFormat="1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</row>
    <row r="65" spans="1:78" s="1" customFormat="1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</row>
    <row r="66" spans="1:78" s="1" customFormat="1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</row>
  </sheetData>
  <dataConsolidate>
    <dataRefs count="4">
      <dataRef ref="C11:H28" sheet="Bashar" r:id="rId1"/>
      <dataRef ref="C11:H28" sheet="Darius" r:id="rId2"/>
      <dataRef ref="C11:H28" sheet="George" r:id="rId3"/>
      <dataRef ref="C11:H28" sheet="Rich" r:id="rId4"/>
    </dataRefs>
  </dataConsolidate>
  <mergeCells count="13">
    <mergeCell ref="A28:A29"/>
    <mergeCell ref="B28:F29"/>
    <mergeCell ref="A1:F3"/>
    <mergeCell ref="A4:F5"/>
    <mergeCell ref="A24:F25"/>
    <mergeCell ref="A26:A27"/>
    <mergeCell ref="B26:F27"/>
    <mergeCell ref="A30:A31"/>
    <mergeCell ref="B30:F31"/>
    <mergeCell ref="A32:A33"/>
    <mergeCell ref="B32:F33"/>
    <mergeCell ref="A34:A35"/>
    <mergeCell ref="B34:F35"/>
  </mergeCells>
  <pageMargins left="0.7" right="0.7" top="0.75" bottom="0.75" header="0.3" footer="0.3"/>
  <pageSetup scale="10" orientation="portrait" horizontalDpi="203" verticalDpi="203"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7D91B8-EA43-40F8-BBCD-282D92E446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Total</vt:lpstr>
      <vt:lpstr>Bashar</vt:lpstr>
      <vt:lpstr>Charles</vt:lpstr>
      <vt:lpstr>Darius</vt:lpstr>
      <vt:lpstr>Doug</vt:lpstr>
      <vt:lpstr>George</vt:lpstr>
      <vt:lpstr>John</vt:lpstr>
      <vt:lpstr>Michael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2026-01-02T17:41:41Z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9eed6f-34eb-4453-9f97-09510b9b219f_Enabled">
    <vt:lpwstr>true</vt:lpwstr>
  </property>
  <property fmtid="{D5CDD505-2E9C-101B-9397-08002B2CF9AE}" pid="3" name="MSIP_Label_929eed6f-34eb-4453-9f97-09510b9b219f_SetDate">
    <vt:lpwstr>2025-07-09T13:15:52Z</vt:lpwstr>
  </property>
  <property fmtid="{D5CDD505-2E9C-101B-9397-08002B2CF9AE}" pid="4" name="MSIP_Label_929eed6f-34eb-4453-9f97-09510b9b219f_Method">
    <vt:lpwstr>Standard</vt:lpwstr>
  </property>
  <property fmtid="{D5CDD505-2E9C-101B-9397-08002B2CF9AE}" pid="5" name="MSIP_Label_929eed6f-34eb-4453-9f97-09510b9b219f_Name">
    <vt:lpwstr>Amazon Pending_Classification</vt:lpwstr>
  </property>
  <property fmtid="{D5CDD505-2E9C-101B-9397-08002B2CF9AE}" pid="6" name="MSIP_Label_929eed6f-34eb-4453-9f97-09510b9b219f_SiteId">
    <vt:lpwstr>5280104a-472d-4538-9ccf-1e1d0efe8b1b</vt:lpwstr>
  </property>
  <property fmtid="{D5CDD505-2E9C-101B-9397-08002B2CF9AE}" pid="7" name="MSIP_Label_929eed6f-34eb-4453-9f97-09510b9b219f_ActionId">
    <vt:lpwstr>198528a7-35d2-4cfd-b3b3-5001b6149c9f</vt:lpwstr>
  </property>
  <property fmtid="{D5CDD505-2E9C-101B-9397-08002B2CF9AE}" pid="8" name="MSIP_Label_929eed6f-34eb-4453-9f97-09510b9b219f_ContentBits">
    <vt:lpwstr>0</vt:lpwstr>
  </property>
  <property fmtid="{D5CDD505-2E9C-101B-9397-08002B2CF9AE}" pid="9" name="MSIP_Label_929eed6f-34eb-4453-9f97-09510b9b219f_Tag">
    <vt:lpwstr>10, 3, 0, 1</vt:lpwstr>
  </property>
</Properties>
</file>